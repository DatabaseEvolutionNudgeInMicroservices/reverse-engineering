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e\WORKSPACES\reverse-engineering\evaluation\ast\identification\overleaf\"/>
    </mc:Choice>
  </mc:AlternateContent>
  <xr:revisionPtr revIDLastSave="0" documentId="13_ncr:1_{4B413577-5D0F-4C33-9398-1C95CF4A7F50}" xr6:coauthVersionLast="47" xr6:coauthVersionMax="47" xr10:uidLastSave="{00000000-0000-0000-0000-000000000000}"/>
  <bookViews>
    <workbookView xWindow="28680" yWindow="-16440" windowWidth="29040" windowHeight="15720" xr2:uid="{306A26B2-3BE7-4C40-B84F-457526F25D94}"/>
  </bookViews>
  <sheets>
    <sheet name="overleaf analysis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" i="13" l="1"/>
  <c r="N24" i="13" l="1"/>
  <c r="N23" i="13" l="1"/>
  <c r="M3" i="13"/>
  <c r="M4" i="13"/>
  <c r="M8" i="13"/>
  <c r="M9" i="13"/>
  <c r="M13" i="13"/>
  <c r="M14" i="13"/>
</calcChain>
</file>

<file path=xl/sharedStrings.xml><?xml version="1.0" encoding="utf-8"?>
<sst xmlns="http://schemas.openxmlformats.org/spreadsheetml/2006/main" count="168" uniqueCount="117">
  <si>
    <t>Scores</t>
  </si>
  <si>
    <t>Precision</t>
  </si>
  <si>
    <t>Recall</t>
  </si>
  <si>
    <t>Concepts</t>
  </si>
  <si>
    <t>docstore</t>
  </si>
  <si>
    <t>document-updater</t>
  </si>
  <si>
    <t>chat</t>
  </si>
  <si>
    <t>clsi</t>
  </si>
  <si>
    <t>contacts</t>
  </si>
  <si>
    <t>filestore</t>
  </si>
  <si>
    <t>notifications</t>
  </si>
  <si>
    <t>real-time</t>
  </si>
  <si>
    <t>spelling</t>
  </si>
  <si>
    <t>tags</t>
  </si>
  <si>
    <t>track-changes</t>
  </si>
  <si>
    <t>project</t>
  </si>
  <si>
    <t>room</t>
  </si>
  <si>
    <t>user</t>
  </si>
  <si>
    <t>doc</t>
  </si>
  <si>
    <t>sync</t>
  </si>
  <si>
    <t>notification</t>
  </si>
  <si>
    <t>client</t>
  </si>
  <si>
    <t>status</t>
  </si>
  <si>
    <t>tag</t>
  </si>
  <si>
    <t>peek</t>
  </si>
  <si>
    <t>code</t>
  </si>
  <si>
    <t>template</t>
  </si>
  <si>
    <t>key</t>
  </si>
  <si>
    <t>health check</t>
  </si>
  <si>
    <t>diff</t>
  </si>
  <si>
    <t>raw</t>
  </si>
  <si>
    <t>thread</t>
  </si>
  <si>
    <t>pdf</t>
  </si>
  <si>
    <t>version</t>
  </si>
  <si>
    <t>message</t>
  </si>
  <si>
    <t>check</t>
  </si>
  <si>
    <t>wordcount</t>
  </si>
  <si>
    <t>drain</t>
  </si>
  <si>
    <t>export</t>
  </si>
  <si>
    <t>archive</t>
  </si>
  <si>
    <t>clear state</t>
  </si>
  <si>
    <t>unarchive</t>
  </si>
  <si>
    <t>history</t>
  </si>
  <si>
    <t>public</t>
  </si>
  <si>
    <t>change</t>
  </si>
  <si>
    <t>env</t>
  </si>
  <si>
    <t>build</t>
  </si>
  <si>
    <t>size</t>
  </si>
  <si>
    <t>debug</t>
  </si>
  <si>
    <t>dangling</t>
  </si>
  <si>
    <t>comment</t>
  </si>
  <si>
    <t>content</t>
  </si>
  <si>
    <t>bucket</t>
  </si>
  <si>
    <t>pack</t>
  </si>
  <si>
    <t>total</t>
  </si>
  <si>
    <t>output</t>
  </si>
  <si>
    <t>redis</t>
  </si>
  <si>
    <t>up</t>
  </si>
  <si>
    <t>down</t>
  </si>
  <si>
    <t>state</t>
  </si>
  <si>
    <t>applied ops</t>
  </si>
  <si>
    <t>master</t>
  </si>
  <si>
    <t>resync</t>
  </si>
  <si>
    <t>doc history</t>
  </si>
  <si>
    <t>doc history index</t>
  </si>
  <si>
    <t>maint</t>
  </si>
  <si>
    <t>doc ops</t>
  </si>
  <si>
    <t>TP</t>
  </si>
  <si>
    <t>FP</t>
  </si>
  <si>
    <t>FN</t>
  </si>
  <si>
    <t>Ground truth</t>
  </si>
  <si>
    <t>Mean</t>
  </si>
  <si>
    <t>API Express Identification Precision and Recall</t>
  </si>
  <si>
    <t>DB Mongo Identification Precision and Recall</t>
  </si>
  <si>
    <t>DB Redis Identification Precision and Recall</t>
  </si>
  <si>
    <t>contact</t>
  </si>
  <si>
    <t>spelling preference</t>
  </si>
  <si>
    <t>range</t>
  </si>
  <si>
    <t>event</t>
  </si>
  <si>
    <t>doc snapshot</t>
  </si>
  <si>
    <t>update</t>
  </si>
  <si>
    <t>deleted</t>
  </si>
  <si>
    <t>redis cluster</t>
  </si>
  <si>
    <t>stop</t>
  </si>
  <si>
    <t>smoke test force</t>
  </si>
  <si>
    <t>all</t>
  </si>
  <si>
    <t>check lock</t>
  </si>
  <si>
    <t>doc deleted</t>
  </si>
  <si>
    <t>compile</t>
  </si>
  <si>
    <t>learn</t>
  </si>
  <si>
    <t>rename</t>
  </si>
  <si>
    <t>flush</t>
  </si>
  <si>
    <t>unlearn</t>
  </si>
  <si>
    <t>edit</t>
  </si>
  <si>
    <t>disconnect</t>
  </si>
  <si>
    <t>resolve</t>
  </si>
  <si>
    <t>reopen</t>
  </si>
  <si>
    <t>accept</t>
  </si>
  <si>
    <t>restore</t>
  </si>
  <si>
    <t>destroy</t>
  </si>
  <si>
    <t>editor events</t>
  </si>
  <si>
    <t>push</t>
  </si>
  <si>
    <t>pull</t>
  </si>
  <si>
    <t>oops</t>
  </si>
  <si>
    <t>cluster continual traffic</t>
  </si>
  <si>
    <t>oops internal</t>
  </si>
  <si>
    <t>get and flush if old</t>
  </si>
  <si>
    <t>flush all project</t>
  </si>
  <si>
    <t>flush queued project</t>
  </si>
  <si>
    <t>etag</t>
  </si>
  <si>
    <t>content type</t>
  </si>
  <si>
    <t>file</t>
  </si>
  <si>
    <t>project history meta data</t>
  </si>
  <si>
    <t>content length</t>
  </si>
  <si>
    <t>transport</t>
  </si>
  <si>
    <t>localhost</t>
  </si>
  <si>
    <t>⚠️ This is calculated on the basis of the result of the identification algorithm with minimum score of 3 (Express), 2 (Mongo), 2 (Redis) and the interpretation algorithm.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</si>
</sst>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10" fontId="4" fillId="0" borderId="0" xfId="1" applyNumberFormat="1" applyFont="1" applyAlignment="1">
      <alignment horizontal="center"/>
    </xf>
    <xf numFmtId="0" fontId="0" fillId="2" borderId="0" xfId="0" applyFill="1"/>
    <xf numFmtId="10" fontId="0" fillId="2" borderId="0" xfId="1" applyNumberFormat="1" applyFont="1" applyFill="1" applyAlignment="1">
      <alignment horizontal="center"/>
    </xf>
    <xf numFmtId="10" fontId="4" fillId="2" borderId="0" xfId="1" applyNumberFormat="1" applyFont="1" applyFill="1" applyAlignment="1">
      <alignment horizontal="center"/>
    </xf>
    <xf numFmtId="0" fontId="6" fillId="0" borderId="0" xfId="0" applyFont="1"/>
    <xf numFmtId="164" fontId="0" fillId="0" borderId="0" xfId="1" applyNumberFormat="1" applyFont="1" applyAlignment="1">
      <alignment horizontal="center"/>
    </xf>
    <xf numFmtId="10" fontId="0" fillId="0" borderId="0" xfId="1" applyNumberFormat="1" applyFont="1" applyFill="1" applyAlignment="1">
      <alignment horizontal="center"/>
    </xf>
    <xf numFmtId="10" fontId="3" fillId="0" borderId="0" xfId="1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10" fontId="4" fillId="0" borderId="0" xfId="1" applyNumberFormat="1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39643-2705-4893-88EA-C07EDE73702D}">
  <dimension ref="A1:N60"/>
  <sheetViews>
    <sheetView tabSelected="1" zoomScaleNormal="100" workbookViewId="0">
      <selection activeCell="I10" sqref="I10"/>
    </sheetView>
  </sheetViews>
  <sheetFormatPr baseColWidth="10" defaultRowHeight="14.4" x14ac:dyDescent="0.3"/>
  <cols>
    <col min="1" max="1" width="15.77734375" customWidth="1"/>
    <col min="2" max="2" width="18.5546875" bestFit="1" customWidth="1"/>
    <col min="3" max="7" width="15.77734375" customWidth="1"/>
    <col min="8" max="8" width="21.109375" bestFit="1" customWidth="1"/>
    <col min="9" max="9" width="17.88671875" bestFit="1" customWidth="1"/>
    <col min="10" max="10" width="15.77734375" customWidth="1"/>
    <col min="11" max="11" width="22.44140625" bestFit="1" customWidth="1"/>
    <col min="12" max="14" width="15.77734375" customWidth="1"/>
  </cols>
  <sheetData>
    <row r="1" spans="1:13" x14ac:dyDescent="0.3">
      <c r="A1" s="21" t="s">
        <v>72</v>
      </c>
      <c r="B1" s="21"/>
      <c r="C1" s="21"/>
      <c r="D1" s="21"/>
      <c r="E1" s="21"/>
      <c r="F1" s="21"/>
      <c r="G1" s="21"/>
      <c r="H1" s="21"/>
      <c r="I1" s="21"/>
      <c r="J1" s="21"/>
      <c r="K1" s="21"/>
      <c r="M1" s="4" t="s">
        <v>71</v>
      </c>
    </row>
    <row r="2" spans="1:13" x14ac:dyDescent="0.3">
      <c r="A2" t="s">
        <v>0</v>
      </c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M2" s="1"/>
    </row>
    <row r="3" spans="1:13" x14ac:dyDescent="0.3">
      <c r="A3" t="s">
        <v>1</v>
      </c>
      <c r="B3" s="16">
        <v>0.69333333333333302</v>
      </c>
      <c r="C3" s="16">
        <v>0.8125</v>
      </c>
      <c r="D3" s="16">
        <v>0.92857142857142805</v>
      </c>
      <c r="E3" s="19">
        <v>1</v>
      </c>
      <c r="F3" s="16">
        <v>1</v>
      </c>
      <c r="G3" s="16">
        <v>1</v>
      </c>
      <c r="H3" s="15">
        <v>1</v>
      </c>
      <c r="I3" s="15">
        <v>1</v>
      </c>
      <c r="M3" s="3">
        <f>AVERAGE(B3:I3)</f>
        <v>0.92930059523809505</v>
      </c>
    </row>
    <row r="4" spans="1:13" x14ac:dyDescent="0.3">
      <c r="A4" t="s">
        <v>2</v>
      </c>
      <c r="B4" s="16">
        <v>1</v>
      </c>
      <c r="C4" s="16">
        <v>1</v>
      </c>
      <c r="D4" s="16">
        <v>1</v>
      </c>
      <c r="E4" s="19">
        <v>1</v>
      </c>
      <c r="F4" s="16">
        <v>1</v>
      </c>
      <c r="G4" s="16">
        <v>0.92307600000000001</v>
      </c>
      <c r="H4" s="15">
        <v>0.87820500000000001</v>
      </c>
      <c r="I4" s="15">
        <v>0.84615300000000004</v>
      </c>
      <c r="M4" s="3">
        <f>AVERAGE(B4:I4)</f>
        <v>0.95592925000000006</v>
      </c>
    </row>
    <row r="5" spans="1:13" x14ac:dyDescent="0.3">
      <c r="M5" s="1"/>
    </row>
    <row r="6" spans="1:13" x14ac:dyDescent="0.3">
      <c r="A6" s="21" t="s">
        <v>73</v>
      </c>
      <c r="B6" s="21"/>
      <c r="C6" s="21"/>
      <c r="D6" s="21"/>
      <c r="E6" s="21"/>
      <c r="F6" s="21"/>
      <c r="G6" s="21"/>
      <c r="H6" s="21"/>
      <c r="I6" s="21"/>
      <c r="J6" s="21"/>
      <c r="K6" s="21"/>
      <c r="M6" s="4" t="s">
        <v>71</v>
      </c>
    </row>
    <row r="7" spans="1:13" x14ac:dyDescent="0.3">
      <c r="A7" t="s">
        <v>0</v>
      </c>
      <c r="B7" s="5">
        <v>1</v>
      </c>
      <c r="C7" s="5">
        <v>2</v>
      </c>
      <c r="D7" s="5">
        <v>3</v>
      </c>
      <c r="E7" s="5">
        <v>4</v>
      </c>
      <c r="F7" s="5">
        <v>5</v>
      </c>
      <c r="G7" s="5">
        <v>6</v>
      </c>
      <c r="M7" s="1"/>
    </row>
    <row r="8" spans="1:13" x14ac:dyDescent="0.3">
      <c r="A8" t="s">
        <v>1</v>
      </c>
      <c r="B8" s="16">
        <v>0.78355799999999998</v>
      </c>
      <c r="C8" s="16">
        <v>0.929203</v>
      </c>
      <c r="D8" s="19">
        <v>0.99056599999999995</v>
      </c>
      <c r="E8" s="16">
        <v>1</v>
      </c>
      <c r="F8" s="15">
        <v>1</v>
      </c>
      <c r="G8" s="15">
        <v>1</v>
      </c>
      <c r="M8" s="3">
        <f>AVERAGE(B8:G8)</f>
        <v>0.95055449999999997</v>
      </c>
    </row>
    <row r="9" spans="1:13" x14ac:dyDescent="0.3">
      <c r="A9" t="s">
        <v>2</v>
      </c>
      <c r="B9" s="3">
        <v>1</v>
      </c>
      <c r="C9" s="16">
        <v>1</v>
      </c>
      <c r="D9" s="19">
        <v>1</v>
      </c>
      <c r="E9" s="16">
        <v>0.72380900000000004</v>
      </c>
      <c r="F9" s="15">
        <v>0.114285</v>
      </c>
      <c r="G9" s="15">
        <v>0.10476100000000001</v>
      </c>
      <c r="M9" s="3">
        <f>AVERAGE(B9:G9)</f>
        <v>0.65714250000000007</v>
      </c>
    </row>
    <row r="10" spans="1:13" x14ac:dyDescent="0.3">
      <c r="M10" s="1"/>
    </row>
    <row r="11" spans="1:13" x14ac:dyDescent="0.3">
      <c r="A11" s="21" t="s">
        <v>74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M11" s="4" t="s">
        <v>71</v>
      </c>
    </row>
    <row r="12" spans="1:13" x14ac:dyDescent="0.3">
      <c r="A12" t="s">
        <v>0</v>
      </c>
      <c r="B12" s="5">
        <v>1</v>
      </c>
      <c r="C12" s="5">
        <v>2</v>
      </c>
      <c r="D12" s="5">
        <v>3</v>
      </c>
      <c r="E12" s="5">
        <v>4</v>
      </c>
      <c r="F12" s="5">
        <v>5</v>
      </c>
      <c r="G12" s="5">
        <v>6</v>
      </c>
      <c r="M12" s="1"/>
    </row>
    <row r="13" spans="1:13" x14ac:dyDescent="0.3">
      <c r="A13" t="s">
        <v>1</v>
      </c>
      <c r="B13" s="15">
        <v>0.40944799999999998</v>
      </c>
      <c r="C13" s="15">
        <v>0.66666599999999998</v>
      </c>
      <c r="D13" s="19">
        <v>0.82644600000000001</v>
      </c>
      <c r="E13" s="15">
        <v>0.96428499999999995</v>
      </c>
      <c r="F13" s="15">
        <v>1</v>
      </c>
      <c r="G13" s="15">
        <v>1</v>
      </c>
      <c r="M13" s="3">
        <f>AVERAGE(B13:G13)</f>
        <v>0.81114083333333331</v>
      </c>
    </row>
    <row r="14" spans="1:13" x14ac:dyDescent="0.3">
      <c r="A14" t="s">
        <v>2</v>
      </c>
      <c r="B14" s="15">
        <v>1</v>
      </c>
      <c r="C14" s="15">
        <v>1</v>
      </c>
      <c r="D14" s="19">
        <v>0.961538</v>
      </c>
      <c r="E14" s="15">
        <v>0.51922999999999997</v>
      </c>
      <c r="F14" s="15">
        <v>0.4807691</v>
      </c>
      <c r="G14" s="15">
        <v>4.8076000000000001E-2</v>
      </c>
      <c r="M14" s="3">
        <f>AVERAGE(B14:G14)</f>
        <v>0.66826884999999991</v>
      </c>
    </row>
    <row r="15" spans="1:13" x14ac:dyDescent="0.3">
      <c r="B15" s="2"/>
      <c r="C15" s="2"/>
      <c r="D15" s="9"/>
      <c r="E15" s="2"/>
      <c r="F15" s="2"/>
      <c r="G15" s="2"/>
    </row>
    <row r="16" spans="1:13" s="10" customFormat="1" x14ac:dyDescent="0.3">
      <c r="B16" s="11"/>
      <c r="C16" s="11"/>
      <c r="D16" s="12"/>
      <c r="E16" s="11"/>
      <c r="F16" s="11"/>
      <c r="G16" s="11"/>
    </row>
    <row r="18" spans="1:14" x14ac:dyDescent="0.3">
      <c r="A18" s="21" t="s">
        <v>3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</row>
    <row r="19" spans="1:14" x14ac:dyDescent="0.3">
      <c r="A19" s="5" t="s">
        <v>4</v>
      </c>
      <c r="B19" s="5" t="s">
        <v>5</v>
      </c>
      <c r="C19" s="5" t="s">
        <v>6</v>
      </c>
      <c r="D19" s="5" t="s">
        <v>7</v>
      </c>
      <c r="E19" s="5" t="s">
        <v>8</v>
      </c>
      <c r="F19" s="5" t="s">
        <v>9</v>
      </c>
      <c r="G19" s="5" t="s">
        <v>10</v>
      </c>
      <c r="H19" s="5" t="s">
        <v>11</v>
      </c>
      <c r="I19" s="5" t="s">
        <v>12</v>
      </c>
      <c r="J19" s="5" t="s">
        <v>13</v>
      </c>
      <c r="K19" s="5" t="s">
        <v>14</v>
      </c>
      <c r="M19" s="4" t="s">
        <v>70</v>
      </c>
      <c r="N19" s="1">
        <f>N20+N22</f>
        <v>126</v>
      </c>
    </row>
    <row r="20" spans="1:14" x14ac:dyDescent="0.3">
      <c r="A20" s="6" t="s">
        <v>15</v>
      </c>
      <c r="B20" s="6" t="s">
        <v>15</v>
      </c>
      <c r="C20" s="6" t="s">
        <v>16</v>
      </c>
      <c r="D20" s="6" t="s">
        <v>15</v>
      </c>
      <c r="E20" s="6" t="s">
        <v>17</v>
      </c>
      <c r="F20" s="6" t="s">
        <v>15</v>
      </c>
      <c r="G20" s="6" t="s">
        <v>17</v>
      </c>
      <c r="H20" s="6" t="s">
        <v>21</v>
      </c>
      <c r="I20" s="6" t="s">
        <v>17</v>
      </c>
      <c r="J20" s="6" t="s">
        <v>17</v>
      </c>
      <c r="K20" s="6" t="s">
        <v>15</v>
      </c>
      <c r="M20" s="6" t="s">
        <v>67</v>
      </c>
      <c r="N20" s="18">
        <v>125</v>
      </c>
    </row>
    <row r="21" spans="1:14" x14ac:dyDescent="0.3">
      <c r="A21" s="6" t="s">
        <v>87</v>
      </c>
      <c r="B21" s="6" t="s">
        <v>18</v>
      </c>
      <c r="C21" s="6" t="s">
        <v>34</v>
      </c>
      <c r="D21" s="6" t="s">
        <v>88</v>
      </c>
      <c r="E21" s="6" t="s">
        <v>75</v>
      </c>
      <c r="F21" s="6" t="s">
        <v>111</v>
      </c>
      <c r="G21" s="6" t="s">
        <v>20</v>
      </c>
      <c r="H21" s="6" t="s">
        <v>15</v>
      </c>
      <c r="I21" s="6" t="s">
        <v>35</v>
      </c>
      <c r="J21" s="6" t="s">
        <v>23</v>
      </c>
      <c r="K21" s="6" t="s">
        <v>18</v>
      </c>
      <c r="M21" s="7" t="s">
        <v>68</v>
      </c>
      <c r="N21" s="18">
        <v>8</v>
      </c>
    </row>
    <row r="22" spans="1:14" x14ac:dyDescent="0.3">
      <c r="A22" s="6" t="s">
        <v>18</v>
      </c>
      <c r="B22" s="6" t="s">
        <v>24</v>
      </c>
      <c r="C22" s="6" t="s">
        <v>15</v>
      </c>
      <c r="D22" s="6" t="s">
        <v>83</v>
      </c>
      <c r="E22" s="6" t="s">
        <v>22</v>
      </c>
      <c r="F22" s="6" t="s">
        <v>26</v>
      </c>
      <c r="G22" s="6" t="s">
        <v>27</v>
      </c>
      <c r="H22" s="6" t="s">
        <v>34</v>
      </c>
      <c r="I22" s="6" t="s">
        <v>89</v>
      </c>
      <c r="J22" s="6" t="s">
        <v>90</v>
      </c>
      <c r="K22" s="6" t="s">
        <v>91</v>
      </c>
      <c r="M22" s="8" t="s">
        <v>69</v>
      </c>
      <c r="N22" s="18">
        <v>1</v>
      </c>
    </row>
    <row r="23" spans="1:14" x14ac:dyDescent="0.3">
      <c r="A23" s="6" t="s">
        <v>77</v>
      </c>
      <c r="B23" s="6" t="s">
        <v>40</v>
      </c>
      <c r="C23" s="6" t="s">
        <v>31</v>
      </c>
      <c r="D23" s="6" t="s">
        <v>19</v>
      </c>
      <c r="E23" s="1"/>
      <c r="F23" s="6" t="s">
        <v>43</v>
      </c>
      <c r="G23" s="6" t="s">
        <v>22</v>
      </c>
      <c r="H23" s="6" t="s">
        <v>37</v>
      </c>
      <c r="I23" s="6" t="s">
        <v>92</v>
      </c>
      <c r="J23" s="6" t="s">
        <v>15</v>
      </c>
      <c r="K23" s="6" t="s">
        <v>29</v>
      </c>
      <c r="M23" s="4" t="s">
        <v>1</v>
      </c>
      <c r="N23" s="14">
        <f>N20/(N20+N21)</f>
        <v>0.93984962406015038</v>
      </c>
    </row>
    <row r="24" spans="1:14" x14ac:dyDescent="0.3">
      <c r="A24" s="6" t="s">
        <v>18</v>
      </c>
      <c r="B24" s="6" t="s">
        <v>91</v>
      </c>
      <c r="C24" s="6" t="s">
        <v>93</v>
      </c>
      <c r="D24" s="6" t="s">
        <v>25</v>
      </c>
      <c r="E24" s="1"/>
      <c r="F24" s="6" t="s">
        <v>47</v>
      </c>
      <c r="G24" s="6" t="s">
        <v>28</v>
      </c>
      <c r="H24" s="6" t="s">
        <v>94</v>
      </c>
      <c r="I24" s="6" t="s">
        <v>22</v>
      </c>
      <c r="J24" s="6" t="s">
        <v>22</v>
      </c>
      <c r="K24" s="6" t="s">
        <v>35</v>
      </c>
      <c r="M24" s="4" t="s">
        <v>2</v>
      </c>
      <c r="N24" s="14">
        <f>N20/N19</f>
        <v>0.99206349206349209</v>
      </c>
    </row>
    <row r="25" spans="1:14" x14ac:dyDescent="0.3">
      <c r="A25" s="6" t="s">
        <v>81</v>
      </c>
      <c r="B25" s="6" t="s">
        <v>42</v>
      </c>
      <c r="C25" s="6" t="s">
        <v>95</v>
      </c>
      <c r="D25" s="6" t="s">
        <v>32</v>
      </c>
      <c r="E25" s="1"/>
      <c r="F25" s="6" t="s">
        <v>52</v>
      </c>
      <c r="G25" s="1"/>
      <c r="H25" s="6" t="s">
        <v>22</v>
      </c>
      <c r="I25" s="6" t="s">
        <v>28</v>
      </c>
      <c r="J25" s="6" t="s">
        <v>28</v>
      </c>
      <c r="K25" s="6" t="s">
        <v>80</v>
      </c>
    </row>
    <row r="26" spans="1:14" x14ac:dyDescent="0.3">
      <c r="A26" s="6" t="s">
        <v>30</v>
      </c>
      <c r="B26" s="6" t="s">
        <v>62</v>
      </c>
      <c r="C26" s="6" t="s">
        <v>96</v>
      </c>
      <c r="D26" s="6" t="s">
        <v>36</v>
      </c>
      <c r="E26" s="1"/>
      <c r="F26" s="6" t="s">
        <v>27</v>
      </c>
      <c r="G26" s="1"/>
      <c r="H26" s="6" t="s">
        <v>48</v>
      </c>
      <c r="I26" s="6" t="s">
        <v>76</v>
      </c>
      <c r="J26" s="1"/>
      <c r="K26" s="6" t="s">
        <v>38</v>
      </c>
    </row>
    <row r="27" spans="1:14" x14ac:dyDescent="0.3">
      <c r="A27" s="17" t="s">
        <v>24</v>
      </c>
      <c r="B27" s="6" t="s">
        <v>44</v>
      </c>
      <c r="C27" s="6" t="s">
        <v>22</v>
      </c>
      <c r="D27" s="6" t="s">
        <v>22</v>
      </c>
      <c r="E27" s="1"/>
      <c r="F27" s="6" t="s">
        <v>22</v>
      </c>
      <c r="G27" s="1"/>
      <c r="H27" s="6" t="s">
        <v>78</v>
      </c>
      <c r="I27" s="1"/>
      <c r="J27" s="1"/>
      <c r="K27" s="6" t="s">
        <v>33</v>
      </c>
    </row>
    <row r="28" spans="1:14" x14ac:dyDescent="0.3">
      <c r="A28" s="6" t="s">
        <v>39</v>
      </c>
      <c r="B28" s="6" t="s">
        <v>97</v>
      </c>
      <c r="C28" s="20" t="s">
        <v>45</v>
      </c>
      <c r="D28" s="6" t="s">
        <v>17</v>
      </c>
      <c r="E28" s="1"/>
      <c r="F28" s="6" t="s">
        <v>28</v>
      </c>
      <c r="G28" s="1"/>
      <c r="H28" s="6" t="s">
        <v>28</v>
      </c>
      <c r="I28" s="1"/>
      <c r="J28" s="1"/>
      <c r="K28" s="6" t="s">
        <v>98</v>
      </c>
    </row>
    <row r="29" spans="1:14" x14ac:dyDescent="0.3">
      <c r="A29" s="6" t="s">
        <v>41</v>
      </c>
      <c r="B29" s="6" t="s">
        <v>50</v>
      </c>
      <c r="C29" s="1"/>
      <c r="D29" s="6" t="s">
        <v>46</v>
      </c>
      <c r="E29" s="1"/>
      <c r="F29" s="7" t="s">
        <v>113</v>
      </c>
      <c r="G29" s="1"/>
      <c r="H29" s="6" t="s">
        <v>56</v>
      </c>
      <c r="I29" s="1"/>
      <c r="J29" s="1"/>
      <c r="K29" s="6" t="s">
        <v>101</v>
      </c>
    </row>
    <row r="30" spans="1:14" x14ac:dyDescent="0.3">
      <c r="A30" s="6" t="s">
        <v>99</v>
      </c>
      <c r="B30" s="6" t="s">
        <v>54</v>
      </c>
      <c r="C30" s="1"/>
      <c r="D30" s="6" t="s">
        <v>51</v>
      </c>
      <c r="E30" s="1"/>
      <c r="F30" s="1"/>
      <c r="G30" s="1"/>
      <c r="H30" s="6" t="s">
        <v>100</v>
      </c>
      <c r="I30" s="1"/>
      <c r="J30" s="1"/>
      <c r="K30" s="6" t="s">
        <v>102</v>
      </c>
    </row>
    <row r="31" spans="1:14" x14ac:dyDescent="0.3">
      <c r="A31" s="6" t="s">
        <v>28</v>
      </c>
      <c r="B31" s="6" t="s">
        <v>22</v>
      </c>
      <c r="C31" s="1"/>
      <c r="D31" s="6" t="s">
        <v>55</v>
      </c>
      <c r="E31" s="1"/>
      <c r="F31" s="1"/>
      <c r="G31" s="1"/>
      <c r="H31" s="6" t="s">
        <v>60</v>
      </c>
      <c r="I31" s="1"/>
      <c r="J31" s="1"/>
      <c r="K31" s="6" t="s">
        <v>85</v>
      </c>
    </row>
    <row r="32" spans="1:14" x14ac:dyDescent="0.3">
      <c r="A32" s="6" t="s">
        <v>22</v>
      </c>
      <c r="B32" s="6" t="s">
        <v>28</v>
      </c>
      <c r="C32" s="1"/>
      <c r="D32" s="6" t="s">
        <v>103</v>
      </c>
      <c r="E32" s="1"/>
      <c r="F32" s="1"/>
      <c r="G32" s="1"/>
      <c r="H32" s="6" t="s">
        <v>104</v>
      </c>
      <c r="I32" s="1"/>
      <c r="J32" s="1"/>
      <c r="K32" s="6" t="s">
        <v>49</v>
      </c>
    </row>
    <row r="33" spans="1:11" x14ac:dyDescent="0.3">
      <c r="A33" s="6" t="s">
        <v>66</v>
      </c>
      <c r="B33" s="6" t="s">
        <v>56</v>
      </c>
      <c r="C33" s="1"/>
      <c r="D33" s="6" t="s">
        <v>105</v>
      </c>
      <c r="E33" s="1"/>
      <c r="F33" s="1"/>
      <c r="G33" s="1"/>
      <c r="H33" s="7" t="s">
        <v>114</v>
      </c>
      <c r="I33" s="1"/>
      <c r="J33" s="1"/>
      <c r="K33" s="6" t="s">
        <v>53</v>
      </c>
    </row>
    <row r="34" spans="1:11" x14ac:dyDescent="0.3">
      <c r="B34" s="6" t="s">
        <v>82</v>
      </c>
      <c r="C34" s="1"/>
      <c r="D34" s="6" t="s">
        <v>28</v>
      </c>
      <c r="E34" s="1"/>
      <c r="F34" s="1"/>
      <c r="G34" s="1"/>
      <c r="H34" s="1"/>
      <c r="I34" s="1"/>
      <c r="J34" s="1"/>
      <c r="K34" s="6" t="s">
        <v>22</v>
      </c>
    </row>
    <row r="35" spans="1:11" x14ac:dyDescent="0.3">
      <c r="B35" s="6" t="s">
        <v>79</v>
      </c>
      <c r="C35" s="1"/>
      <c r="D35" s="6" t="s">
        <v>84</v>
      </c>
      <c r="E35" s="1"/>
      <c r="F35" s="1"/>
      <c r="G35" s="1"/>
      <c r="H35" s="1"/>
      <c r="I35" s="1"/>
      <c r="J35" s="1"/>
      <c r="K35" s="6" t="s">
        <v>103</v>
      </c>
    </row>
    <row r="36" spans="1:11" x14ac:dyDescent="0.3">
      <c r="B36" s="6" t="s">
        <v>61</v>
      </c>
      <c r="C36" s="1"/>
      <c r="D36" s="6" t="s">
        <v>59</v>
      </c>
      <c r="E36" s="1"/>
      <c r="F36" s="1"/>
      <c r="G36" s="1"/>
      <c r="H36" s="1"/>
      <c r="I36" s="1"/>
      <c r="J36" s="1"/>
      <c r="K36" s="6" t="s">
        <v>86</v>
      </c>
    </row>
    <row r="37" spans="1:11" x14ac:dyDescent="0.3">
      <c r="B37" s="6" t="s">
        <v>60</v>
      </c>
      <c r="D37" s="6" t="s">
        <v>57</v>
      </c>
      <c r="H37" s="1"/>
      <c r="K37" s="6" t="s">
        <v>28</v>
      </c>
    </row>
    <row r="38" spans="1:11" x14ac:dyDescent="0.3">
      <c r="B38" s="7" t="s">
        <v>106</v>
      </c>
      <c r="D38" s="6" t="s">
        <v>58</v>
      </c>
      <c r="K38" s="6" t="s">
        <v>63</v>
      </c>
    </row>
    <row r="39" spans="1:11" x14ac:dyDescent="0.3">
      <c r="B39" s="7" t="s">
        <v>107</v>
      </c>
      <c r="D39" s="6" t="s">
        <v>65</v>
      </c>
      <c r="K39" s="6" t="s">
        <v>112</v>
      </c>
    </row>
    <row r="40" spans="1:11" x14ac:dyDescent="0.3">
      <c r="B40" s="7" t="s">
        <v>108</v>
      </c>
      <c r="D40" s="7" t="s">
        <v>109</v>
      </c>
      <c r="K40" s="6" t="s">
        <v>64</v>
      </c>
    </row>
    <row r="41" spans="1:11" x14ac:dyDescent="0.3">
      <c r="B41" s="1"/>
      <c r="D41" s="7" t="s">
        <v>110</v>
      </c>
      <c r="K41" s="6" t="s">
        <v>61</v>
      </c>
    </row>
    <row r="42" spans="1:11" x14ac:dyDescent="0.3">
      <c r="B42" s="1"/>
      <c r="K42" s="7" t="s">
        <v>115</v>
      </c>
    </row>
    <row r="43" spans="1:1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1" x14ac:dyDescent="0.3">
      <c r="A44" s="13" t="s">
        <v>116</v>
      </c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</sheetData>
  <sortState xmlns:xlrd2="http://schemas.microsoft.com/office/spreadsheetml/2017/richdata2" ref="K20:K49">
    <sortCondition ref="K20:K49"/>
  </sortState>
  <mergeCells count="4">
    <mergeCell ref="A6:K6"/>
    <mergeCell ref="A11:K11"/>
    <mergeCell ref="A18:K18"/>
    <mergeCell ref="A1:K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overleaf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Maxime Andre</cp:lastModifiedBy>
  <dcterms:created xsi:type="dcterms:W3CDTF">2024-05-19T09:13:48Z</dcterms:created>
  <dcterms:modified xsi:type="dcterms:W3CDTF">2026-02-06T13:25:17Z</dcterms:modified>
</cp:coreProperties>
</file>