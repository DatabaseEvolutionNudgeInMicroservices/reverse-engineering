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xime\WORKSPACES\reverse-engineering\evaluation\ast\identification\"/>
    </mc:Choice>
  </mc:AlternateContent>
  <xr:revisionPtr revIDLastSave="0" documentId="13_ncr:1_{3A1E5167-CB30-469E-BB2F-4DE66B5D47C8}" xr6:coauthVersionLast="47" xr6:coauthVersionMax="47" xr10:uidLastSave="{00000000-0000-0000-0000-000000000000}"/>
  <bookViews>
    <workbookView xWindow="-14295" yWindow="-16320" windowWidth="29040" windowHeight="15720" xr2:uid="{FD997F10-270E-4490-8A96-FB61AA31EEDD}"/>
  </bookViews>
  <sheets>
    <sheet name="Identifica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9" i="1" l="1"/>
  <c r="K19" i="1"/>
  <c r="W18" i="1"/>
  <c r="W17" i="1"/>
  <c r="AG18" i="1"/>
  <c r="AG17" i="1"/>
  <c r="AC19" i="1"/>
  <c r="AD19" i="1"/>
  <c r="AE19" i="1"/>
  <c r="AF19" i="1"/>
  <c r="AG19" i="1"/>
  <c r="AB19" i="1"/>
  <c r="R19" i="1"/>
  <c r="S19" i="1"/>
  <c r="T19" i="1"/>
  <c r="U19" i="1"/>
  <c r="V19" i="1"/>
  <c r="W19" i="1"/>
  <c r="Q19" i="1"/>
  <c r="E19" i="1"/>
  <c r="F19" i="1"/>
  <c r="G19" i="1"/>
  <c r="H19" i="1"/>
  <c r="I19" i="1"/>
  <c r="L19" i="1"/>
  <c r="D19" i="1"/>
  <c r="L18" i="1"/>
  <c r="L17" i="1"/>
  <c r="K17" i="1"/>
  <c r="AF18" i="1"/>
  <c r="AE18" i="1"/>
  <c r="AD18" i="1"/>
  <c r="AC18" i="1"/>
  <c r="AB18" i="1"/>
  <c r="AF17" i="1"/>
  <c r="AE17" i="1"/>
  <c r="AD17" i="1"/>
  <c r="AC17" i="1"/>
  <c r="AB17" i="1"/>
  <c r="V18" i="1"/>
  <c r="U18" i="1"/>
  <c r="T18" i="1"/>
  <c r="S18" i="1"/>
  <c r="R18" i="1"/>
  <c r="Q18" i="1"/>
  <c r="V17" i="1"/>
  <c r="U17" i="1"/>
  <c r="T17" i="1"/>
  <c r="S17" i="1"/>
  <c r="R17" i="1"/>
  <c r="Q17" i="1"/>
  <c r="E18" i="1"/>
  <c r="F18" i="1"/>
  <c r="G18" i="1"/>
  <c r="H18" i="1"/>
  <c r="I18" i="1"/>
  <c r="J18" i="1"/>
  <c r="K18" i="1"/>
  <c r="D18" i="1"/>
  <c r="E17" i="1"/>
  <c r="F17" i="1"/>
  <c r="G17" i="1"/>
  <c r="H17" i="1"/>
  <c r="I17" i="1"/>
  <c r="J17" i="1"/>
  <c r="D17" i="1"/>
</calcChain>
</file>

<file path=xl/sharedStrings.xml><?xml version="1.0" encoding="utf-8"?>
<sst xmlns="http://schemas.openxmlformats.org/spreadsheetml/2006/main" count="109" uniqueCount="15">
  <si>
    <t>comments-api</t>
  </si>
  <si>
    <t>API Express</t>
  </si>
  <si>
    <t>Scores</t>
  </si>
  <si>
    <t>Precision</t>
  </si>
  <si>
    <t>Recall</t>
  </si>
  <si>
    <t>N/A</t>
  </si>
  <si>
    <t>DB Mongo</t>
  </si>
  <si>
    <t>cinema-microservice</t>
  </si>
  <si>
    <t>overleaf</t>
  </si>
  <si>
    <t>DB Redis</t>
  </si>
  <si>
    <t>cloudboost</t>
  </si>
  <si>
    <t>robot-shop</t>
  </si>
  <si>
    <t>Precision average</t>
  </si>
  <si>
    <t>Recall average</t>
  </si>
  <si>
    <t>F1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</si>
</sst>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u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8">
    <xf numFmtId="0" fontId="0" fillId="0" borderId="0" xfId="0"/>
    <xf numFmtId="10" fontId="1" fillId="0" borderId="0" xfId="1" applyNumberFormat="1" applyFont="1" applyFill="1" applyAlignment="1">
      <alignment horizontal="center"/>
    </xf>
    <xf numFmtId="0" fontId="0" fillId="0" borderId="0" xfId="0" applyAlignment="1">
      <alignment horizontal="center"/>
    </xf>
    <xf numFmtId="10" fontId="1" fillId="0" borderId="0" xfId="1" applyNumberFormat="1" applyFont="1" applyAlignment="1">
      <alignment horizontal="center"/>
    </xf>
    <xf numFmtId="10" fontId="1" fillId="0" borderId="0" xfId="1" applyNumberFormat="1" applyFont="1" applyFill="1" applyAlignment="1">
      <alignment horizontal="center" vertical="center"/>
    </xf>
    <xf numFmtId="10" fontId="1" fillId="0" borderId="0" xfId="1" applyNumberFormat="1" applyFont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10" fontId="0" fillId="0" borderId="0" xfId="1" applyNumberFormat="1" applyFont="1" applyAlignment="1">
      <alignment horizontal="center" vertical="center"/>
    </xf>
    <xf numFmtId="10" fontId="0" fillId="0" borderId="0" xfId="1" applyNumberFormat="1" applyFont="1" applyAlignment="1">
      <alignment horizontal="center"/>
    </xf>
    <xf numFmtId="10" fontId="3" fillId="2" borderId="0" xfId="1" applyNumberFormat="1" applyFont="1" applyFill="1" applyAlignment="1">
      <alignment horizontal="center" vertical="center"/>
    </xf>
    <xf numFmtId="10" fontId="2" fillId="2" borderId="0" xfId="1" applyNumberFormat="1" applyFont="1" applyFill="1" applyAlignment="1">
      <alignment horizontal="center" vertical="center"/>
    </xf>
    <xf numFmtId="10" fontId="3" fillId="2" borderId="0" xfId="1" applyNumberFormat="1" applyFont="1" applyFill="1" applyAlignment="1">
      <alignment horizontal="center"/>
    </xf>
    <xf numFmtId="0" fontId="3" fillId="0" borderId="0" xfId="0" applyFont="1" applyFill="1"/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5682BC-8023-4313-ABB9-6B01C8273355}">
  <dimension ref="A1:AI20"/>
  <sheetViews>
    <sheetView tabSelected="1" zoomScale="130" zoomScaleNormal="130" workbookViewId="0">
      <selection activeCell="N7" sqref="N7"/>
    </sheetView>
  </sheetViews>
  <sheetFormatPr baseColWidth="10" defaultRowHeight="14.4" x14ac:dyDescent="0.3"/>
  <cols>
    <col min="1" max="1" width="11.44140625" customWidth="1"/>
    <col min="2" max="2" width="18.88671875" bestFit="1" customWidth="1"/>
    <col min="3" max="3" width="18.44140625" bestFit="1" customWidth="1"/>
    <col min="13" max="13" width="3.6640625" customWidth="1"/>
    <col min="14" max="14" width="9" bestFit="1" customWidth="1"/>
    <col min="15" max="15" width="18.88671875" bestFit="1" customWidth="1"/>
    <col min="16" max="16" width="15.6640625" bestFit="1" customWidth="1"/>
    <col min="24" max="24" width="2.88671875" customWidth="1"/>
    <col min="25" max="25" width="8.109375" bestFit="1" customWidth="1"/>
    <col min="26" max="26" width="9.88671875" bestFit="1" customWidth="1"/>
    <col min="27" max="27" width="15.44140625" bestFit="1" customWidth="1"/>
  </cols>
  <sheetData>
    <row r="1" spans="1:35" x14ac:dyDescent="0.3">
      <c r="A1" s="8" t="s">
        <v>1</v>
      </c>
      <c r="B1" s="9"/>
      <c r="C1" s="9" t="s">
        <v>2</v>
      </c>
      <c r="D1" s="9">
        <v>1</v>
      </c>
      <c r="E1" s="9">
        <v>2</v>
      </c>
      <c r="F1" s="9">
        <v>3</v>
      </c>
      <c r="G1" s="9">
        <v>4</v>
      </c>
      <c r="H1" s="9">
        <v>5</v>
      </c>
      <c r="I1" s="9">
        <v>6</v>
      </c>
      <c r="J1" s="9">
        <v>7</v>
      </c>
      <c r="K1" s="9">
        <v>8</v>
      </c>
      <c r="L1" s="9">
        <v>9</v>
      </c>
      <c r="N1" s="7" t="s">
        <v>6</v>
      </c>
      <c r="O1" s="6"/>
      <c r="P1" s="6" t="s">
        <v>2</v>
      </c>
      <c r="Q1" s="6">
        <v>1</v>
      </c>
      <c r="R1" s="6">
        <v>2</v>
      </c>
      <c r="S1" s="6">
        <v>3</v>
      </c>
      <c r="T1" s="6">
        <v>4</v>
      </c>
      <c r="U1" s="6">
        <v>5</v>
      </c>
      <c r="V1" s="6">
        <v>6</v>
      </c>
      <c r="W1" s="6">
        <v>7</v>
      </c>
      <c r="Y1" s="7" t="s">
        <v>9</v>
      </c>
      <c r="Z1" s="6"/>
      <c r="AA1" s="6" t="s">
        <v>2</v>
      </c>
      <c r="AB1" s="6">
        <v>1</v>
      </c>
      <c r="AC1" s="6">
        <v>2</v>
      </c>
      <c r="AD1" s="6">
        <v>3</v>
      </c>
      <c r="AE1" s="6">
        <v>4</v>
      </c>
      <c r="AF1" s="6">
        <v>5</v>
      </c>
      <c r="AG1" s="6">
        <v>6</v>
      </c>
      <c r="AH1" s="6">
        <v>7</v>
      </c>
      <c r="AI1" s="2"/>
    </row>
    <row r="2" spans="1:35" x14ac:dyDescent="0.3">
      <c r="A2" s="11"/>
      <c r="B2" s="9" t="s">
        <v>0</v>
      </c>
      <c r="C2" s="9" t="s">
        <v>3</v>
      </c>
      <c r="D2" s="4">
        <v>0.54545399999999999</v>
      </c>
      <c r="E2" s="4">
        <v>0.66666599999999998</v>
      </c>
      <c r="F2" s="4">
        <v>1</v>
      </c>
      <c r="G2" s="4">
        <v>1</v>
      </c>
      <c r="H2" s="4">
        <v>1</v>
      </c>
      <c r="I2" s="4">
        <v>1</v>
      </c>
      <c r="J2" s="4">
        <v>1</v>
      </c>
      <c r="K2" s="4">
        <v>1</v>
      </c>
      <c r="L2" s="4">
        <v>1</v>
      </c>
      <c r="O2" s="6" t="s">
        <v>0</v>
      </c>
      <c r="P2" s="6" t="s">
        <v>3</v>
      </c>
      <c r="Q2" s="1">
        <v>0.72</v>
      </c>
      <c r="R2" s="1">
        <v>0.75</v>
      </c>
      <c r="S2" s="1">
        <v>0.78947368421052599</v>
      </c>
      <c r="T2" s="1">
        <v>1</v>
      </c>
      <c r="U2" s="1" t="s">
        <v>5</v>
      </c>
      <c r="V2" s="1" t="s">
        <v>5</v>
      </c>
      <c r="W2" s="1" t="s">
        <v>5</v>
      </c>
      <c r="Z2" s="6"/>
      <c r="AA2" s="6"/>
      <c r="AB2" s="13"/>
      <c r="AC2" s="13"/>
      <c r="AD2" s="13"/>
      <c r="AE2" s="13"/>
      <c r="AF2" s="13"/>
      <c r="AG2" s="13"/>
      <c r="AH2" s="13"/>
    </row>
    <row r="3" spans="1:35" x14ac:dyDescent="0.3">
      <c r="A3" s="11"/>
      <c r="B3" s="9"/>
      <c r="C3" s="9" t="s">
        <v>4</v>
      </c>
      <c r="D3" s="4">
        <v>1</v>
      </c>
      <c r="E3" s="4">
        <v>1</v>
      </c>
      <c r="F3" s="4">
        <v>1</v>
      </c>
      <c r="G3" s="4">
        <v>1</v>
      </c>
      <c r="H3" s="4">
        <v>1</v>
      </c>
      <c r="I3" s="4">
        <v>1</v>
      </c>
      <c r="J3" s="4">
        <v>1</v>
      </c>
      <c r="K3" s="4">
        <v>1</v>
      </c>
      <c r="L3" s="4">
        <v>1</v>
      </c>
      <c r="O3" s="6"/>
      <c r="P3" s="6" t="s">
        <v>4</v>
      </c>
      <c r="Q3" s="13">
        <v>1</v>
      </c>
      <c r="R3" s="1">
        <v>1</v>
      </c>
      <c r="S3" s="1">
        <v>0.83333333333333304</v>
      </c>
      <c r="T3" s="1">
        <v>0.5</v>
      </c>
      <c r="U3" s="1">
        <v>0</v>
      </c>
      <c r="V3" s="1">
        <v>0</v>
      </c>
      <c r="W3" s="1">
        <v>0</v>
      </c>
      <c r="Z3" s="6"/>
      <c r="AA3" s="6"/>
      <c r="AB3" s="13"/>
      <c r="AC3" s="13"/>
      <c r="AD3" s="13"/>
      <c r="AE3" s="13"/>
      <c r="AF3" s="13"/>
      <c r="AG3" s="13"/>
      <c r="AH3" s="13"/>
    </row>
    <row r="4" spans="1:35" x14ac:dyDescent="0.3">
      <c r="A4" s="11"/>
      <c r="B4" s="9"/>
      <c r="C4" s="9" t="s">
        <v>14</v>
      </c>
      <c r="D4" s="4">
        <v>0.70589999999999997</v>
      </c>
      <c r="E4" s="4">
        <v>0.8</v>
      </c>
      <c r="F4" s="4">
        <v>1</v>
      </c>
      <c r="G4" s="4">
        <v>1</v>
      </c>
      <c r="H4" s="4">
        <v>1</v>
      </c>
      <c r="I4" s="4">
        <v>1</v>
      </c>
      <c r="J4" s="4">
        <v>1</v>
      </c>
      <c r="K4" s="4">
        <v>1</v>
      </c>
      <c r="L4" s="4">
        <v>1</v>
      </c>
      <c r="O4" s="6"/>
      <c r="P4" s="6" t="s">
        <v>14</v>
      </c>
      <c r="Q4" s="13">
        <v>0.83720000000000006</v>
      </c>
      <c r="R4" s="1">
        <v>0.85709999999999997</v>
      </c>
      <c r="S4" s="1">
        <v>0.81079999999999997</v>
      </c>
      <c r="T4" s="1">
        <v>0.66669999999999996</v>
      </c>
      <c r="U4" s="1" t="s">
        <v>5</v>
      </c>
      <c r="V4" s="1" t="s">
        <v>5</v>
      </c>
      <c r="W4" s="1" t="s">
        <v>5</v>
      </c>
      <c r="Z4" s="6"/>
      <c r="AA4" s="6"/>
      <c r="AB4" s="13"/>
      <c r="AC4" s="13"/>
      <c r="AD4" s="13"/>
      <c r="AE4" s="13"/>
      <c r="AF4" s="13"/>
      <c r="AG4" s="13"/>
      <c r="AH4" s="13"/>
    </row>
    <row r="5" spans="1:35" x14ac:dyDescent="0.3">
      <c r="A5" s="11"/>
      <c r="B5" s="9" t="s">
        <v>7</v>
      </c>
      <c r="C5" s="9" t="s">
        <v>3</v>
      </c>
      <c r="D5" s="4">
        <v>0.736842</v>
      </c>
      <c r="E5" s="4">
        <v>0.93333299999999997</v>
      </c>
      <c r="F5" s="4">
        <v>1</v>
      </c>
      <c r="G5" s="4">
        <v>1</v>
      </c>
      <c r="H5" s="4">
        <v>1</v>
      </c>
      <c r="I5" s="4">
        <v>1</v>
      </c>
      <c r="J5" s="4" t="s">
        <v>5</v>
      </c>
      <c r="K5" s="4" t="s">
        <v>5</v>
      </c>
      <c r="L5" s="4" t="s">
        <v>5</v>
      </c>
      <c r="O5" s="6" t="s">
        <v>7</v>
      </c>
      <c r="P5" s="6" t="s">
        <v>3</v>
      </c>
      <c r="Q5" s="1">
        <v>1</v>
      </c>
      <c r="R5" s="1">
        <v>1</v>
      </c>
      <c r="S5" s="1">
        <v>1</v>
      </c>
      <c r="T5" s="1">
        <v>1</v>
      </c>
      <c r="U5" s="1" t="s">
        <v>5</v>
      </c>
      <c r="V5" s="1" t="s">
        <v>5</v>
      </c>
      <c r="W5" s="1" t="s">
        <v>5</v>
      </c>
      <c r="Z5" s="6"/>
      <c r="AA5" s="6"/>
      <c r="AB5" s="13"/>
      <c r="AC5" s="13"/>
      <c r="AD5" s="13"/>
      <c r="AE5" s="13"/>
      <c r="AF5" s="13"/>
      <c r="AG5" s="13"/>
      <c r="AH5" s="13"/>
    </row>
    <row r="6" spans="1:35" x14ac:dyDescent="0.3">
      <c r="A6" s="11"/>
      <c r="B6" s="9"/>
      <c r="C6" s="9" t="s">
        <v>4</v>
      </c>
      <c r="D6" s="4">
        <v>1</v>
      </c>
      <c r="E6" s="4">
        <v>1</v>
      </c>
      <c r="F6" s="4">
        <v>1</v>
      </c>
      <c r="G6" s="4">
        <v>1</v>
      </c>
      <c r="H6" s="4">
        <v>0.85714199999999996</v>
      </c>
      <c r="I6" s="4">
        <v>0.85714199999999996</v>
      </c>
      <c r="J6" s="4">
        <v>0</v>
      </c>
      <c r="K6" s="4">
        <v>0</v>
      </c>
      <c r="L6" s="4">
        <v>0</v>
      </c>
      <c r="O6" s="6"/>
      <c r="P6" s="6" t="s">
        <v>4</v>
      </c>
      <c r="Q6" s="3">
        <v>1</v>
      </c>
      <c r="R6" s="1">
        <v>1</v>
      </c>
      <c r="S6" s="1">
        <v>0.65</v>
      </c>
      <c r="T6" s="1">
        <v>0.45</v>
      </c>
      <c r="U6" s="1">
        <v>0</v>
      </c>
      <c r="V6" s="1">
        <v>0</v>
      </c>
      <c r="W6" s="1">
        <v>0</v>
      </c>
      <c r="Z6" s="6"/>
      <c r="AA6" s="6"/>
      <c r="AB6" s="13"/>
      <c r="AC6" s="13"/>
      <c r="AD6" s="13"/>
      <c r="AE6" s="13"/>
      <c r="AF6" s="13"/>
      <c r="AG6" s="13"/>
      <c r="AH6" s="13"/>
    </row>
    <row r="7" spans="1:35" x14ac:dyDescent="0.3">
      <c r="A7" s="11"/>
      <c r="B7" s="9"/>
      <c r="C7" s="9" t="s">
        <v>14</v>
      </c>
      <c r="D7" s="4">
        <v>0.84850000000000003</v>
      </c>
      <c r="E7" s="4">
        <v>0.96550000000000002</v>
      </c>
      <c r="F7" s="4">
        <v>1</v>
      </c>
      <c r="G7" s="4">
        <v>1</v>
      </c>
      <c r="H7" s="4">
        <v>0.92310000000000003</v>
      </c>
      <c r="I7" s="4">
        <v>0.92310000000000003</v>
      </c>
      <c r="J7" s="4" t="s">
        <v>5</v>
      </c>
      <c r="K7" s="4" t="s">
        <v>5</v>
      </c>
      <c r="L7" s="4" t="s">
        <v>5</v>
      </c>
      <c r="O7" s="6"/>
      <c r="P7" s="6" t="s">
        <v>14</v>
      </c>
      <c r="Q7" s="3">
        <v>1</v>
      </c>
      <c r="R7" s="1">
        <v>1</v>
      </c>
      <c r="S7" s="1">
        <v>0.78790000000000004</v>
      </c>
      <c r="T7" s="1">
        <v>0.62070000000000003</v>
      </c>
      <c r="U7" s="1" t="s">
        <v>5</v>
      </c>
      <c r="V7" s="1" t="s">
        <v>5</v>
      </c>
      <c r="W7" s="1" t="s">
        <v>5</v>
      </c>
      <c r="Z7" s="6"/>
      <c r="AA7" s="6"/>
      <c r="AB7" s="13"/>
      <c r="AC7" s="13"/>
      <c r="AD7" s="13"/>
      <c r="AE7" s="13"/>
      <c r="AF7" s="13"/>
      <c r="AG7" s="13"/>
      <c r="AH7" s="13"/>
    </row>
    <row r="8" spans="1:35" x14ac:dyDescent="0.3">
      <c r="A8" s="11"/>
      <c r="B8" s="9" t="s">
        <v>8</v>
      </c>
      <c r="C8" s="9" t="s">
        <v>3</v>
      </c>
      <c r="D8" s="4">
        <v>0.69333333333333302</v>
      </c>
      <c r="E8" s="4">
        <v>0.8125</v>
      </c>
      <c r="F8" s="4">
        <v>0.92857142857142805</v>
      </c>
      <c r="G8" s="4">
        <v>0.96299999999999997</v>
      </c>
      <c r="H8" s="4">
        <v>1</v>
      </c>
      <c r="I8" s="4">
        <v>1</v>
      </c>
      <c r="J8" s="4">
        <v>1</v>
      </c>
      <c r="K8" s="4">
        <v>1</v>
      </c>
      <c r="L8" s="4">
        <v>1</v>
      </c>
      <c r="O8" s="6" t="s">
        <v>8</v>
      </c>
      <c r="P8" s="6" t="s">
        <v>3</v>
      </c>
      <c r="Q8" s="1">
        <v>0.78355799999999998</v>
      </c>
      <c r="R8" s="1">
        <v>0.929203</v>
      </c>
      <c r="S8" s="1">
        <v>0.99056599999999995</v>
      </c>
      <c r="T8" s="1">
        <v>1</v>
      </c>
      <c r="U8" s="1">
        <v>1</v>
      </c>
      <c r="V8" s="1">
        <v>1</v>
      </c>
      <c r="W8" s="1">
        <v>1</v>
      </c>
      <c r="Z8" s="6" t="s">
        <v>8</v>
      </c>
      <c r="AA8" s="6" t="s">
        <v>3</v>
      </c>
      <c r="AB8" s="1">
        <v>0.40944799999999998</v>
      </c>
      <c r="AC8" s="1">
        <v>0.66666599999999998</v>
      </c>
      <c r="AD8" s="1">
        <v>0.82644600000000001</v>
      </c>
      <c r="AE8" s="1">
        <v>0.96428499999999995</v>
      </c>
      <c r="AF8" s="1">
        <v>1</v>
      </c>
      <c r="AG8" s="1">
        <v>1</v>
      </c>
      <c r="AH8" s="1" t="s">
        <v>5</v>
      </c>
    </row>
    <row r="9" spans="1:35" x14ac:dyDescent="0.3">
      <c r="A9" s="11"/>
      <c r="B9" s="9"/>
      <c r="C9" s="9" t="s">
        <v>4</v>
      </c>
      <c r="D9" s="4">
        <v>1</v>
      </c>
      <c r="E9" s="4">
        <v>1</v>
      </c>
      <c r="F9" s="4">
        <v>1</v>
      </c>
      <c r="G9" s="4">
        <v>1</v>
      </c>
      <c r="H9" s="4">
        <v>1</v>
      </c>
      <c r="I9" s="4">
        <v>0.99360000000000004</v>
      </c>
      <c r="J9" s="4">
        <v>0.90380000000000005</v>
      </c>
      <c r="K9" s="4">
        <v>0.86539999999999995</v>
      </c>
      <c r="L9" s="4">
        <v>0.63460000000000005</v>
      </c>
      <c r="O9" s="6"/>
      <c r="P9" s="6" t="s">
        <v>4</v>
      </c>
      <c r="Q9" s="3">
        <v>1</v>
      </c>
      <c r="R9" s="1">
        <v>1</v>
      </c>
      <c r="S9" s="1">
        <v>1</v>
      </c>
      <c r="T9" s="1">
        <v>1</v>
      </c>
      <c r="U9" s="1">
        <v>0.6381</v>
      </c>
      <c r="V9" s="1">
        <v>0.10476100000000001</v>
      </c>
      <c r="W9" s="1">
        <v>9.5200000000000007E-2</v>
      </c>
      <c r="Z9" s="6"/>
      <c r="AA9" s="6" t="s">
        <v>4</v>
      </c>
      <c r="AB9" s="1">
        <v>1</v>
      </c>
      <c r="AC9" s="1">
        <v>1</v>
      </c>
      <c r="AD9" s="1">
        <v>0.961538</v>
      </c>
      <c r="AE9" s="1">
        <v>0.51922999999999997</v>
      </c>
      <c r="AF9" s="1">
        <v>0.4904</v>
      </c>
      <c r="AG9" s="1">
        <v>4.8076000000000001E-2</v>
      </c>
      <c r="AH9" s="1">
        <v>0</v>
      </c>
    </row>
    <row r="10" spans="1:35" x14ac:dyDescent="0.3">
      <c r="A10" s="11"/>
      <c r="B10" s="9"/>
      <c r="C10" s="9" t="s">
        <v>14</v>
      </c>
      <c r="D10" s="4">
        <v>0.81889999999999996</v>
      </c>
      <c r="E10" s="4">
        <v>0.89659999999999995</v>
      </c>
      <c r="F10" s="4">
        <v>0.96299999999999997</v>
      </c>
      <c r="G10" s="4">
        <v>0.98109999999999997</v>
      </c>
      <c r="H10" s="4">
        <v>1</v>
      </c>
      <c r="I10" s="4">
        <v>0.99680000000000002</v>
      </c>
      <c r="J10" s="4">
        <v>0.94950000000000001</v>
      </c>
      <c r="K10" s="4">
        <v>0.92779999999999996</v>
      </c>
      <c r="L10" s="4">
        <v>0.77649999999999997</v>
      </c>
      <c r="O10" s="6"/>
      <c r="P10" s="6" t="s">
        <v>14</v>
      </c>
      <c r="Q10" s="13">
        <v>0.87870000000000004</v>
      </c>
      <c r="R10" s="1">
        <v>0.96330000000000005</v>
      </c>
      <c r="S10" s="1">
        <v>0.99529999999999996</v>
      </c>
      <c r="T10" s="1">
        <v>1</v>
      </c>
      <c r="U10" s="1">
        <v>0.77910000000000001</v>
      </c>
      <c r="V10" s="1">
        <v>0.18970000000000001</v>
      </c>
      <c r="W10" s="1">
        <v>0.1739</v>
      </c>
      <c r="Z10" s="6"/>
      <c r="AA10" s="6" t="s">
        <v>14</v>
      </c>
      <c r="AB10" s="1">
        <v>0.58099999999999996</v>
      </c>
      <c r="AC10" s="1">
        <v>0.8</v>
      </c>
      <c r="AD10" s="1">
        <v>0.88890000000000002</v>
      </c>
      <c r="AE10" s="1">
        <v>0.67500000000000004</v>
      </c>
      <c r="AF10" s="1">
        <v>0.65810000000000002</v>
      </c>
      <c r="AG10" s="1">
        <v>9.1700000000000004E-2</v>
      </c>
      <c r="AH10" s="1" t="s">
        <v>5</v>
      </c>
    </row>
    <row r="11" spans="1:35" x14ac:dyDescent="0.3">
      <c r="A11" s="11"/>
      <c r="B11" s="9" t="s">
        <v>10</v>
      </c>
      <c r="C11" s="9" t="s">
        <v>3</v>
      </c>
      <c r="D11" s="4">
        <v>0.293333333333333</v>
      </c>
      <c r="E11" s="5">
        <v>0.61682242990654201</v>
      </c>
      <c r="F11" s="5">
        <v>0.95652173913043403</v>
      </c>
      <c r="G11" s="5">
        <v>1</v>
      </c>
      <c r="H11" s="5">
        <v>1</v>
      </c>
      <c r="I11" s="4">
        <v>1</v>
      </c>
      <c r="J11" s="4" t="s">
        <v>5</v>
      </c>
      <c r="K11" s="4" t="s">
        <v>5</v>
      </c>
      <c r="L11" s="4" t="s">
        <v>5</v>
      </c>
      <c r="O11" s="6" t="s">
        <v>10</v>
      </c>
      <c r="P11" s="6" t="s">
        <v>3</v>
      </c>
      <c r="Q11" s="4">
        <v>0.53157894736842104</v>
      </c>
      <c r="R11" s="3">
        <v>0.639240506329113</v>
      </c>
      <c r="S11" s="3">
        <v>0.96940000000000004</v>
      </c>
      <c r="T11" s="1">
        <v>1</v>
      </c>
      <c r="U11" s="1">
        <v>1</v>
      </c>
      <c r="V11" s="1" t="s">
        <v>5</v>
      </c>
      <c r="W11" s="1" t="s">
        <v>5</v>
      </c>
      <c r="Z11" s="6" t="s">
        <v>10</v>
      </c>
      <c r="AA11" s="6" t="s">
        <v>3</v>
      </c>
      <c r="AB11" s="5">
        <v>9.7560975609756101E-2</v>
      </c>
      <c r="AC11" s="3">
        <v>0.32876712328767099</v>
      </c>
      <c r="AD11" s="3">
        <v>0.61760000000000004</v>
      </c>
      <c r="AE11" s="1">
        <v>0.83330000000000004</v>
      </c>
      <c r="AF11" s="1" t="s">
        <v>5</v>
      </c>
      <c r="AG11" s="1" t="s">
        <v>5</v>
      </c>
      <c r="AH11" s="1" t="s">
        <v>5</v>
      </c>
    </row>
    <row r="12" spans="1:35" x14ac:dyDescent="0.3">
      <c r="A12" s="11"/>
      <c r="B12" s="9"/>
      <c r="C12" s="9" t="s">
        <v>4</v>
      </c>
      <c r="D12" s="4">
        <v>1</v>
      </c>
      <c r="E12" s="5">
        <v>1</v>
      </c>
      <c r="F12" s="5">
        <v>1</v>
      </c>
      <c r="G12" s="5">
        <v>1</v>
      </c>
      <c r="H12" s="5">
        <v>0.98484848484848397</v>
      </c>
      <c r="I12" s="4">
        <v>0.92420000000000002</v>
      </c>
      <c r="J12" s="4">
        <v>0</v>
      </c>
      <c r="K12" s="4">
        <v>0</v>
      </c>
      <c r="L12" s="4">
        <v>0</v>
      </c>
      <c r="O12" s="6"/>
      <c r="P12" s="6" t="s">
        <v>4</v>
      </c>
      <c r="Q12" s="5">
        <v>1</v>
      </c>
      <c r="R12" s="3">
        <v>1</v>
      </c>
      <c r="S12" s="3">
        <v>0.94059405940593999</v>
      </c>
      <c r="T12" s="1">
        <v>0.366336633663366</v>
      </c>
      <c r="U12" s="1">
        <v>5.9400000000000001E-2</v>
      </c>
      <c r="V12" s="1">
        <v>0</v>
      </c>
      <c r="W12" s="1">
        <v>0</v>
      </c>
      <c r="Z12" s="6"/>
      <c r="AA12" s="6" t="s">
        <v>4</v>
      </c>
      <c r="AB12" s="5">
        <v>1</v>
      </c>
      <c r="AC12" s="3">
        <v>1</v>
      </c>
      <c r="AD12" s="3">
        <v>0.875</v>
      </c>
      <c r="AE12" s="1">
        <v>0.20830000000000001</v>
      </c>
      <c r="AF12" s="1">
        <v>0</v>
      </c>
      <c r="AG12" s="1">
        <v>0</v>
      </c>
      <c r="AH12" s="1">
        <v>0</v>
      </c>
    </row>
    <row r="13" spans="1:35" x14ac:dyDescent="0.3">
      <c r="A13" s="11"/>
      <c r="B13" s="9"/>
      <c r="C13" s="9" t="s">
        <v>14</v>
      </c>
      <c r="D13" s="4">
        <v>0.4536</v>
      </c>
      <c r="E13" s="5">
        <v>0.76300000000000001</v>
      </c>
      <c r="F13" s="5">
        <v>0.9778</v>
      </c>
      <c r="G13" s="5">
        <v>1</v>
      </c>
      <c r="H13" s="5">
        <v>0.99239999999999995</v>
      </c>
      <c r="I13" s="4">
        <v>0.96060000000000001</v>
      </c>
      <c r="J13" s="4" t="s">
        <v>5</v>
      </c>
      <c r="K13" s="4" t="s">
        <v>5</v>
      </c>
      <c r="L13" s="4" t="s">
        <v>5</v>
      </c>
      <c r="O13" s="6"/>
      <c r="P13" s="6" t="s">
        <v>14</v>
      </c>
      <c r="Q13" s="5">
        <v>0.69420000000000004</v>
      </c>
      <c r="R13" s="3">
        <v>0.77990000000000004</v>
      </c>
      <c r="S13" s="3">
        <v>0.95479999999999998</v>
      </c>
      <c r="T13" s="1">
        <v>0.53620000000000001</v>
      </c>
      <c r="U13" s="1">
        <v>0.11210000000000001</v>
      </c>
      <c r="V13" s="1" t="s">
        <v>5</v>
      </c>
      <c r="W13" s="1" t="s">
        <v>5</v>
      </c>
      <c r="Z13" s="6"/>
      <c r="AA13" s="6" t="s">
        <v>14</v>
      </c>
      <c r="AB13" s="5">
        <v>0.17780000000000001</v>
      </c>
      <c r="AC13" s="3">
        <v>0.49480000000000002</v>
      </c>
      <c r="AD13" s="3">
        <v>0.72409999999999997</v>
      </c>
      <c r="AE13" s="1">
        <v>0.33329999999999999</v>
      </c>
      <c r="AF13" s="1" t="s">
        <v>5</v>
      </c>
      <c r="AG13" s="1" t="s">
        <v>5</v>
      </c>
      <c r="AH13" s="1" t="s">
        <v>5</v>
      </c>
    </row>
    <row r="14" spans="1:35" x14ac:dyDescent="0.3">
      <c r="A14" s="11"/>
      <c r="B14" s="9" t="s">
        <v>11</v>
      </c>
      <c r="C14" s="9" t="s">
        <v>3</v>
      </c>
      <c r="D14" s="5">
        <v>0.78571428571428503</v>
      </c>
      <c r="E14" s="5">
        <v>0.78571428571428503</v>
      </c>
      <c r="F14" s="5">
        <v>0.78571428571428503</v>
      </c>
      <c r="G14" s="5">
        <v>0.78571428571428503</v>
      </c>
      <c r="H14" s="5">
        <v>1</v>
      </c>
      <c r="I14" s="5">
        <v>1</v>
      </c>
      <c r="J14" s="5">
        <v>1</v>
      </c>
      <c r="K14" s="5">
        <v>1</v>
      </c>
      <c r="L14" s="5">
        <v>1</v>
      </c>
      <c r="O14" s="6" t="s">
        <v>11</v>
      </c>
      <c r="P14" s="6" t="s">
        <v>3</v>
      </c>
      <c r="Q14" s="3">
        <v>1</v>
      </c>
      <c r="R14" s="3">
        <v>1</v>
      </c>
      <c r="S14" s="3">
        <v>1</v>
      </c>
      <c r="T14" s="3">
        <v>1</v>
      </c>
      <c r="U14" s="3">
        <v>1</v>
      </c>
      <c r="V14" s="3">
        <v>1</v>
      </c>
      <c r="W14" s="3">
        <v>1</v>
      </c>
      <c r="Z14" s="6" t="s">
        <v>11</v>
      </c>
      <c r="AA14" s="6" t="s">
        <v>3</v>
      </c>
      <c r="AB14" s="3">
        <v>0.225806451612903</v>
      </c>
      <c r="AC14" s="3">
        <v>0.28000000000000003</v>
      </c>
      <c r="AD14" s="3">
        <v>0.29170000000000001</v>
      </c>
      <c r="AE14" s="3">
        <v>0.58333333333333304</v>
      </c>
      <c r="AF14" s="3">
        <v>0.77780000000000005</v>
      </c>
      <c r="AG14" s="3" t="s">
        <v>5</v>
      </c>
      <c r="AH14" s="1" t="s">
        <v>5</v>
      </c>
    </row>
    <row r="15" spans="1:35" x14ac:dyDescent="0.3">
      <c r="A15" s="11"/>
      <c r="B15" s="9"/>
      <c r="C15" s="9" t="s">
        <v>4</v>
      </c>
      <c r="D15" s="5">
        <v>1</v>
      </c>
      <c r="E15" s="5">
        <v>1</v>
      </c>
      <c r="F15" s="5">
        <v>1</v>
      </c>
      <c r="G15" s="5">
        <v>1</v>
      </c>
      <c r="H15" s="5">
        <v>1</v>
      </c>
      <c r="I15" s="5">
        <v>1</v>
      </c>
      <c r="J15" s="5">
        <v>1</v>
      </c>
      <c r="K15" s="5">
        <v>1</v>
      </c>
      <c r="L15" s="5">
        <v>0.86360000000000003</v>
      </c>
      <c r="O15" s="6"/>
      <c r="P15" s="6" t="s">
        <v>4</v>
      </c>
      <c r="Q15" s="3">
        <v>1</v>
      </c>
      <c r="R15" s="3">
        <v>1</v>
      </c>
      <c r="S15" s="3">
        <v>1</v>
      </c>
      <c r="T15" s="3">
        <v>1</v>
      </c>
      <c r="U15" s="3">
        <v>0.73913043478260798</v>
      </c>
      <c r="V15" s="3">
        <v>0.13043478260869501</v>
      </c>
      <c r="W15" s="3">
        <v>0.13043478260869501</v>
      </c>
      <c r="Z15" s="6"/>
      <c r="AA15" s="6" t="s">
        <v>4</v>
      </c>
      <c r="AB15" s="3">
        <v>1</v>
      </c>
      <c r="AC15" s="3">
        <v>1</v>
      </c>
      <c r="AD15" s="3">
        <v>1</v>
      </c>
      <c r="AE15" s="3">
        <v>1</v>
      </c>
      <c r="AF15" s="3">
        <v>1</v>
      </c>
      <c r="AG15" s="3">
        <v>0</v>
      </c>
      <c r="AH15" s="1">
        <v>0</v>
      </c>
    </row>
    <row r="16" spans="1:35" x14ac:dyDescent="0.3">
      <c r="A16" s="11"/>
      <c r="B16" s="9"/>
      <c r="C16" s="9" t="s">
        <v>14</v>
      </c>
      <c r="D16" s="12">
        <v>0.88</v>
      </c>
      <c r="E16" s="12">
        <v>0.88</v>
      </c>
      <c r="F16" s="12">
        <v>0.88</v>
      </c>
      <c r="G16" s="12">
        <v>0.88</v>
      </c>
      <c r="H16" s="12">
        <v>1</v>
      </c>
      <c r="I16" s="12">
        <v>1</v>
      </c>
      <c r="J16" s="5">
        <v>1</v>
      </c>
      <c r="K16" s="5">
        <v>1</v>
      </c>
      <c r="L16" s="12">
        <v>0.92679999999999996</v>
      </c>
      <c r="O16" s="6"/>
      <c r="P16" s="6" t="s">
        <v>14</v>
      </c>
      <c r="Q16" s="13">
        <v>1</v>
      </c>
      <c r="R16" s="13">
        <v>1</v>
      </c>
      <c r="S16" s="13">
        <v>1</v>
      </c>
      <c r="T16" s="13">
        <v>1</v>
      </c>
      <c r="U16" s="13">
        <v>0.85</v>
      </c>
      <c r="V16" s="13">
        <v>0.23080000000000001</v>
      </c>
      <c r="W16" s="13">
        <v>0.23080000000000001</v>
      </c>
      <c r="Z16" s="6"/>
      <c r="AA16" s="6" t="s">
        <v>14</v>
      </c>
      <c r="AB16" s="13">
        <v>0.36840000000000001</v>
      </c>
      <c r="AC16" s="13">
        <v>0.4375</v>
      </c>
      <c r="AD16" s="13">
        <v>0.4516</v>
      </c>
      <c r="AE16" s="13">
        <v>0.73680000000000001</v>
      </c>
      <c r="AF16" s="13">
        <v>0.875</v>
      </c>
      <c r="AG16" s="3" t="s">
        <v>5</v>
      </c>
      <c r="AH16" s="1" t="s">
        <v>5</v>
      </c>
    </row>
    <row r="17" spans="1:34" x14ac:dyDescent="0.3">
      <c r="A17" s="11"/>
      <c r="B17" s="10"/>
      <c r="C17" s="9" t="s">
        <v>12</v>
      </c>
      <c r="D17" s="14">
        <f t="shared" ref="D17:L17" si="0">AVERAGE(D2,D5,D8,D11,D14)</f>
        <v>0.61093539047619028</v>
      </c>
      <c r="E17" s="14">
        <f t="shared" si="0"/>
        <v>0.7630071431241654</v>
      </c>
      <c r="F17" s="14">
        <f t="shared" si="0"/>
        <v>0.9341614906832294</v>
      </c>
      <c r="G17" s="14">
        <f t="shared" si="0"/>
        <v>0.949742857142857</v>
      </c>
      <c r="H17" s="14">
        <f t="shared" si="0"/>
        <v>1</v>
      </c>
      <c r="I17" s="14">
        <f t="shared" si="0"/>
        <v>1</v>
      </c>
      <c r="J17" s="14">
        <f t="shared" si="0"/>
        <v>1</v>
      </c>
      <c r="K17" s="14">
        <f t="shared" si="0"/>
        <v>1</v>
      </c>
      <c r="L17" s="14">
        <f t="shared" si="0"/>
        <v>1</v>
      </c>
      <c r="O17" s="6"/>
      <c r="P17" s="6" t="s">
        <v>12</v>
      </c>
      <c r="Q17" s="16">
        <f>AVERAGE(Q2,Q5,Q8,Q11,Q14)</f>
        <v>0.80702738947368435</v>
      </c>
      <c r="R17" s="16">
        <f>AVERAGE(R2,R5,R8,R11,R14)</f>
        <v>0.86368870126582264</v>
      </c>
      <c r="S17" s="16">
        <f>AVERAGE(S2,S5,S8,S11,S14)</f>
        <v>0.94988793684210526</v>
      </c>
      <c r="T17" s="16">
        <f>AVERAGE(T2,T5,T8,T11,T14)</f>
        <v>1</v>
      </c>
      <c r="U17" s="16">
        <f>AVERAGE(U2,U5,U8,U11,U14)</f>
        <v>1</v>
      </c>
      <c r="V17" s="16">
        <f>AVERAGE(V2,V5,V8,V11,V14)</f>
        <v>1</v>
      </c>
      <c r="W17" s="16">
        <f>AVERAGE(W2,W5,W8,W11,W14)</f>
        <v>1</v>
      </c>
      <c r="X17" s="17"/>
      <c r="Z17" s="6"/>
      <c r="AA17" s="6" t="s">
        <v>12</v>
      </c>
      <c r="AB17" s="16">
        <f t="shared" ref="AB17:AG19" si="1">AVERAGE(AB2,AB5,AB8,AB11,AB14)</f>
        <v>0.24427180907421972</v>
      </c>
      <c r="AC17" s="16">
        <f t="shared" si="1"/>
        <v>0.42514437442922365</v>
      </c>
      <c r="AD17" s="16">
        <f t="shared" si="1"/>
        <v>0.57858200000000004</v>
      </c>
      <c r="AE17" s="16">
        <f t="shared" si="1"/>
        <v>0.79363944444444423</v>
      </c>
      <c r="AF17" s="16">
        <f t="shared" si="1"/>
        <v>0.88890000000000002</v>
      </c>
      <c r="AG17" s="16">
        <f t="shared" si="1"/>
        <v>1</v>
      </c>
      <c r="AH17" s="16" t="s">
        <v>5</v>
      </c>
    </row>
    <row r="18" spans="1:34" x14ac:dyDescent="0.3">
      <c r="A18" s="11"/>
      <c r="B18" s="10"/>
      <c r="C18" s="9" t="s">
        <v>13</v>
      </c>
      <c r="D18" s="14">
        <f t="shared" ref="D18:L18" si="2">AVERAGE(D3,D6,D9,D12,D15)</f>
        <v>1</v>
      </c>
      <c r="E18" s="14">
        <f t="shared" si="2"/>
        <v>1</v>
      </c>
      <c r="F18" s="14">
        <f t="shared" si="2"/>
        <v>1</v>
      </c>
      <c r="G18" s="14">
        <f t="shared" si="2"/>
        <v>1</v>
      </c>
      <c r="H18" s="14">
        <f t="shared" si="2"/>
        <v>0.96839809696969681</v>
      </c>
      <c r="I18" s="14">
        <f t="shared" si="2"/>
        <v>0.95498840000000007</v>
      </c>
      <c r="J18" s="14">
        <f t="shared" si="2"/>
        <v>0.58075999999999994</v>
      </c>
      <c r="K18" s="14">
        <f t="shared" si="2"/>
        <v>0.57308000000000003</v>
      </c>
      <c r="L18" s="14">
        <f t="shared" si="2"/>
        <v>0.49964000000000003</v>
      </c>
      <c r="O18" s="6"/>
      <c r="P18" s="6" t="s">
        <v>13</v>
      </c>
      <c r="Q18" s="16">
        <f>AVERAGE(Q3,Q6,Q9,Q12,Q15)</f>
        <v>1</v>
      </c>
      <c r="R18" s="16">
        <f>AVERAGE(R3,R6,R9,R12,R15)</f>
        <v>1</v>
      </c>
      <c r="S18" s="16">
        <f>AVERAGE(S3,S6,S9,S12,S15)</f>
        <v>0.88478547854785461</v>
      </c>
      <c r="T18" s="16">
        <f>AVERAGE(T3,T6,T9,T12,T15)</f>
        <v>0.66326732673267319</v>
      </c>
      <c r="U18" s="16">
        <f>AVERAGE(U3,U6,U9,U12,U15)</f>
        <v>0.28732608695652162</v>
      </c>
      <c r="V18" s="16">
        <f>AVERAGE(V3,V6,V9,V12,V15)</f>
        <v>4.7039156521738998E-2</v>
      </c>
      <c r="W18" s="16">
        <f>AVERAGE(W3,W6,W9,W12,W15)</f>
        <v>4.5126956521739002E-2</v>
      </c>
      <c r="X18" s="17"/>
      <c r="Z18" s="6"/>
      <c r="AA18" s="6" t="s">
        <v>13</v>
      </c>
      <c r="AB18" s="16">
        <f t="shared" si="1"/>
        <v>1</v>
      </c>
      <c r="AC18" s="16">
        <f t="shared" si="1"/>
        <v>1</v>
      </c>
      <c r="AD18" s="16">
        <f t="shared" si="1"/>
        <v>0.94551266666666667</v>
      </c>
      <c r="AE18" s="16">
        <f t="shared" si="1"/>
        <v>0.57584333333333337</v>
      </c>
      <c r="AF18" s="16">
        <f t="shared" si="1"/>
        <v>0.49679999999999996</v>
      </c>
      <c r="AG18" s="16">
        <f t="shared" si="1"/>
        <v>1.6025333333333332E-2</v>
      </c>
      <c r="AH18" s="16">
        <v>0</v>
      </c>
    </row>
    <row r="19" spans="1:34" x14ac:dyDescent="0.3">
      <c r="A19" s="11"/>
      <c r="B19" s="10"/>
      <c r="C19" s="9" t="s">
        <v>14</v>
      </c>
      <c r="D19" s="14">
        <f t="shared" ref="D19:L19" si="3">AVERAGE(D4,D7,D10,D13,D16)</f>
        <v>0.74138000000000004</v>
      </c>
      <c r="E19" s="14">
        <f t="shared" si="3"/>
        <v>0.86102000000000012</v>
      </c>
      <c r="F19" s="14">
        <f t="shared" si="3"/>
        <v>0.96416000000000002</v>
      </c>
      <c r="G19" s="14">
        <f t="shared" si="3"/>
        <v>0.97222000000000008</v>
      </c>
      <c r="H19" s="15">
        <f t="shared" si="3"/>
        <v>0.98309999999999997</v>
      </c>
      <c r="I19" s="14">
        <f t="shared" si="3"/>
        <v>0.97609999999999997</v>
      </c>
      <c r="J19" s="14">
        <f t="shared" si="3"/>
        <v>0.98316666666666663</v>
      </c>
      <c r="K19" s="14">
        <f t="shared" si="3"/>
        <v>0.97593333333333332</v>
      </c>
      <c r="L19" s="14">
        <f t="shared" si="3"/>
        <v>0.90110000000000001</v>
      </c>
      <c r="O19" s="10"/>
      <c r="P19" s="9" t="s">
        <v>14</v>
      </c>
      <c r="Q19" s="14">
        <f>AVERAGE(Q4,Q7,Q10,Q13,Q16)</f>
        <v>0.88202000000000003</v>
      </c>
      <c r="R19" s="14">
        <f>AVERAGE(R4,R7,R10,R13,R16)</f>
        <v>0.9200600000000001</v>
      </c>
      <c r="S19" s="15">
        <f>AVERAGE(S4,S7,S10,S13,S16)</f>
        <v>0.90976000000000001</v>
      </c>
      <c r="T19" s="14">
        <f>AVERAGE(T4,T7,T10,T13,T16)</f>
        <v>0.76471999999999996</v>
      </c>
      <c r="U19" s="14">
        <f>AVERAGE(U4,U7,U10,U13,U16)</f>
        <v>0.58040000000000003</v>
      </c>
      <c r="V19" s="14">
        <f>AVERAGE(V4,V7,V10,V13,V16)</f>
        <v>0.21024999999999999</v>
      </c>
      <c r="W19" s="14">
        <f>AVERAGE(W4,W7,W10,W13,W16)</f>
        <v>0.20235</v>
      </c>
      <c r="X19" s="17"/>
      <c r="Z19" s="10"/>
      <c r="AA19" s="9" t="s">
        <v>14</v>
      </c>
      <c r="AB19" s="14">
        <f t="shared" si="1"/>
        <v>0.37573333333333331</v>
      </c>
      <c r="AC19" s="14">
        <f t="shared" si="1"/>
        <v>0.57743333333333335</v>
      </c>
      <c r="AD19" s="14">
        <f t="shared" si="1"/>
        <v>0.68820000000000003</v>
      </c>
      <c r="AE19" s="14">
        <f t="shared" si="1"/>
        <v>0.58169999999999999</v>
      </c>
      <c r="AF19" s="15">
        <f t="shared" si="1"/>
        <v>0.76655000000000006</v>
      </c>
      <c r="AG19" s="14">
        <f t="shared" si="1"/>
        <v>9.1700000000000004E-2</v>
      </c>
      <c r="AH19" s="16" t="s">
        <v>5</v>
      </c>
    </row>
    <row r="20" spans="1:34" x14ac:dyDescent="0.3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Identification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Maxime ANDRE</dc:creator>
  <cp:lastModifiedBy>Maxime Andre</cp:lastModifiedBy>
  <dcterms:created xsi:type="dcterms:W3CDTF">2024-12-06T16:24:46Z</dcterms:created>
  <dcterms:modified xsi:type="dcterms:W3CDTF">2026-03-03T15:40:57Z</dcterms:modified>
</cp:coreProperties>
</file>