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robot-shop\"/>
    </mc:Choice>
  </mc:AlternateContent>
  <xr:revisionPtr revIDLastSave="0" documentId="13_ncr:1_{31F893A5-7619-4B34-AFC6-968008237810}" xr6:coauthVersionLast="47" xr6:coauthVersionMax="47" xr10:uidLastSave="{00000000-0000-0000-0000-000000000000}"/>
  <bookViews>
    <workbookView xWindow="-120" yWindow="-16320" windowWidth="29040" windowHeight="15720" xr2:uid="{306A26B2-3BE7-4C40-B84F-457526F25D94}"/>
  </bookViews>
  <sheets>
    <sheet name="robot-shop analysi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M14" i="13" l="1"/>
  <c r="M13" i="13"/>
  <c r="N24" i="13" l="1"/>
  <c r="N23" i="13"/>
  <c r="M3" i="13" l="1"/>
  <c r="M4" i="13"/>
  <c r="M8" i="13"/>
  <c r="M9" i="13"/>
</calcChain>
</file>

<file path=xl/sharedStrings.xml><?xml version="1.0" encoding="utf-8"?>
<sst xmlns="http://schemas.openxmlformats.org/spreadsheetml/2006/main" count="46" uniqueCount="32">
  <si>
    <t>Scores</t>
  </si>
  <si>
    <t>Precision</t>
  </si>
  <si>
    <t>Recall</t>
  </si>
  <si>
    <t>Concepts</t>
  </si>
  <si>
    <t>TP</t>
  </si>
  <si>
    <t>FP</t>
  </si>
  <si>
    <t>FN</t>
  </si>
  <si>
    <t>Ground truth</t>
  </si>
  <si>
    <t>Mean</t>
  </si>
  <si>
    <t>API Express Identification Precision and Recall</t>
  </si>
  <si>
    <t>DB Mongo Identification Precision and Recall</t>
  </si>
  <si>
    <t>N/A</t>
  </si>
  <si>
    <t>product</t>
  </si>
  <si>
    <t>users</t>
  </si>
  <si>
    <t>cart</t>
  </si>
  <si>
    <t>category</t>
  </si>
  <si>
    <t>order</t>
  </si>
  <si>
    <t>shipping</t>
  </si>
  <si>
    <t>search</t>
  </si>
  <si>
    <t>history</t>
  </si>
  <si>
    <t>health</t>
  </si>
  <si>
    <t>register</t>
  </si>
  <si>
    <t>metrics</t>
  </si>
  <si>
    <t>login</t>
  </si>
  <si>
    <t>check</t>
  </si>
  <si>
    <t>rename</t>
  </si>
  <si>
    <t>add</t>
  </si>
  <si>
    <t>uniqueid</t>
  </si>
  <si>
    <t>update</t>
  </si>
  <si>
    <t>catalogue</t>
  </si>
  <si>
    <t>user</t>
  </si>
  <si>
    <t>⚠️ This is calculated on the basis of the result of the identification algorithm with minimum score of 5 (Express), 3 (Mongo), 5 (Redis) and the interpretation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</si>
</sst>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1" applyNumberFormat="1" applyFont="1"/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N42"/>
  <sheetViews>
    <sheetView tabSelected="1" zoomScale="130" zoomScaleNormal="130" workbookViewId="0">
      <selection activeCell="K2" sqref="K2"/>
    </sheetView>
  </sheetViews>
  <sheetFormatPr baseColWidth="10" defaultRowHeight="14.4" x14ac:dyDescent="0.3"/>
  <cols>
    <col min="1" max="1" width="15.77734375" customWidth="1"/>
    <col min="2" max="2" width="17.109375" bestFit="1" customWidth="1"/>
    <col min="3" max="7" width="15.77734375" customWidth="1"/>
    <col min="8" max="8" width="18.88671875" bestFit="1" customWidth="1"/>
    <col min="9" max="9" width="17.88671875" bestFit="1" customWidth="1"/>
    <col min="10" max="10" width="15.77734375" customWidth="1"/>
    <col min="11" max="11" width="21.5546875" bestFit="1" customWidth="1"/>
    <col min="12" max="14" width="15.77734375" customWidth="1"/>
  </cols>
  <sheetData>
    <row r="1" spans="1:13" x14ac:dyDescent="0.3">
      <c r="A1" s="20" t="s">
        <v>9</v>
      </c>
      <c r="B1" s="20"/>
      <c r="C1" s="20"/>
      <c r="D1" s="20"/>
      <c r="E1" s="20"/>
      <c r="F1" s="20"/>
      <c r="G1" s="20"/>
      <c r="H1" s="20"/>
      <c r="I1" s="20"/>
      <c r="J1" s="20"/>
      <c r="K1" s="20"/>
      <c r="M1" s="4" t="s">
        <v>8</v>
      </c>
    </row>
    <row r="2" spans="1:13" x14ac:dyDescent="0.3">
      <c r="A2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M2" s="1"/>
    </row>
    <row r="3" spans="1:13" x14ac:dyDescent="0.3">
      <c r="A3" t="s">
        <v>1</v>
      </c>
      <c r="B3" s="2">
        <v>0.78571428571428503</v>
      </c>
      <c r="C3" s="2">
        <v>0.78571428571428503</v>
      </c>
      <c r="D3" s="2">
        <v>0.78571428571428503</v>
      </c>
      <c r="E3" s="2">
        <v>0.78571428571428503</v>
      </c>
      <c r="F3" s="9">
        <v>1</v>
      </c>
      <c r="G3" s="2">
        <v>1</v>
      </c>
      <c r="H3" s="2">
        <v>1</v>
      </c>
      <c r="I3" s="2">
        <v>1</v>
      </c>
      <c r="J3" s="18"/>
      <c r="K3" s="18"/>
      <c r="M3" s="3">
        <f>AVERAGE(B3:I3)</f>
        <v>0.89285714285714257</v>
      </c>
    </row>
    <row r="4" spans="1:13" x14ac:dyDescent="0.3">
      <c r="A4" t="s">
        <v>2</v>
      </c>
      <c r="B4" s="2">
        <v>1</v>
      </c>
      <c r="C4" s="2">
        <v>1</v>
      </c>
      <c r="D4" s="2">
        <v>1</v>
      </c>
      <c r="E4" s="2">
        <v>1</v>
      </c>
      <c r="F4" s="9">
        <v>1</v>
      </c>
      <c r="G4" s="2">
        <v>1</v>
      </c>
      <c r="H4" s="2">
        <v>1</v>
      </c>
      <c r="I4" s="2">
        <v>1</v>
      </c>
      <c r="J4" s="18"/>
      <c r="K4" s="18"/>
      <c r="M4" s="3">
        <f>AVERAGE(B4:I4)</f>
        <v>1</v>
      </c>
    </row>
    <row r="5" spans="1:13" x14ac:dyDescent="0.3">
      <c r="M5" s="1"/>
    </row>
    <row r="6" spans="1:13" x14ac:dyDescent="0.3">
      <c r="A6" s="20" t="s">
        <v>10</v>
      </c>
      <c r="B6" s="20"/>
      <c r="C6" s="20"/>
      <c r="D6" s="20"/>
      <c r="E6" s="20"/>
      <c r="F6" s="20"/>
      <c r="G6" s="20"/>
      <c r="H6" s="20"/>
      <c r="I6" s="20"/>
      <c r="J6" s="20"/>
      <c r="K6" s="20"/>
      <c r="M6" s="4" t="s">
        <v>8</v>
      </c>
    </row>
    <row r="7" spans="1:13" x14ac:dyDescent="0.3">
      <c r="A7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M7" s="1"/>
    </row>
    <row r="8" spans="1:13" x14ac:dyDescent="0.3">
      <c r="A8" t="s">
        <v>1</v>
      </c>
      <c r="B8" s="10">
        <v>1</v>
      </c>
      <c r="C8" s="2">
        <v>1</v>
      </c>
      <c r="D8" s="9">
        <v>1</v>
      </c>
      <c r="E8" s="2">
        <v>1</v>
      </c>
      <c r="F8" s="2">
        <v>1</v>
      </c>
      <c r="G8" s="2">
        <v>1</v>
      </c>
      <c r="H8" s="18"/>
      <c r="I8" s="18"/>
      <c r="J8" s="18"/>
      <c r="K8" s="18"/>
      <c r="M8" s="3">
        <f>AVERAGE(B8:G8)</f>
        <v>1</v>
      </c>
    </row>
    <row r="9" spans="1:13" x14ac:dyDescent="0.3">
      <c r="A9" t="s">
        <v>2</v>
      </c>
      <c r="B9" s="10">
        <v>1</v>
      </c>
      <c r="C9" s="2">
        <v>1</v>
      </c>
      <c r="D9" s="9">
        <v>1</v>
      </c>
      <c r="E9" s="2">
        <v>0.78260869565217395</v>
      </c>
      <c r="F9" s="2">
        <v>0.73913043478260798</v>
      </c>
      <c r="G9" s="2">
        <v>0.13043478260869501</v>
      </c>
      <c r="H9" s="18"/>
      <c r="I9" s="18"/>
      <c r="J9" s="18"/>
      <c r="K9" s="18"/>
      <c r="M9" s="3">
        <f>AVERAGE(B9:G9)</f>
        <v>0.77536231884057949</v>
      </c>
    </row>
    <row r="10" spans="1:13" x14ac:dyDescent="0.3">
      <c r="B10" s="2"/>
      <c r="C10" s="2"/>
      <c r="D10" s="2"/>
      <c r="E10" s="2"/>
      <c r="F10" s="2"/>
      <c r="G10" s="2"/>
    </row>
    <row r="11" spans="1:13" x14ac:dyDescent="0.3">
      <c r="A11" s="20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4" t="s">
        <v>8</v>
      </c>
    </row>
    <row r="12" spans="1:13" x14ac:dyDescent="0.3">
      <c r="A12" t="s">
        <v>0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/>
      <c r="I12" s="5"/>
      <c r="M12" s="1"/>
    </row>
    <row r="13" spans="1:13" x14ac:dyDescent="0.3">
      <c r="A13" t="s">
        <v>1</v>
      </c>
      <c r="B13" s="2">
        <v>0.225806451612903</v>
      </c>
      <c r="C13" s="2">
        <v>0.28000000000000003</v>
      </c>
      <c r="D13" s="2">
        <v>0.30434782608695599</v>
      </c>
      <c r="E13" s="2">
        <v>0.58333333333333304</v>
      </c>
      <c r="F13" s="9">
        <v>1</v>
      </c>
      <c r="G13" s="2" t="s">
        <v>11</v>
      </c>
      <c r="H13" s="18"/>
      <c r="I13" s="18"/>
      <c r="J13" s="18"/>
      <c r="K13" s="18"/>
      <c r="M13" s="3">
        <f>AVERAGE(B13:I13)</f>
        <v>0.47869752220663842</v>
      </c>
    </row>
    <row r="14" spans="1:13" x14ac:dyDescent="0.3">
      <c r="A14" t="s">
        <v>2</v>
      </c>
      <c r="B14" s="2">
        <v>1</v>
      </c>
      <c r="C14" s="2">
        <v>1</v>
      </c>
      <c r="D14" s="2">
        <v>1</v>
      </c>
      <c r="E14" s="2">
        <v>1</v>
      </c>
      <c r="F14" s="9">
        <v>1</v>
      </c>
      <c r="G14" s="2">
        <v>0</v>
      </c>
      <c r="H14" s="18"/>
      <c r="I14" s="18"/>
      <c r="J14" s="18"/>
      <c r="K14" s="18"/>
      <c r="M14" s="3">
        <f>AVERAGE(B14:I14)</f>
        <v>0.83333333333333337</v>
      </c>
    </row>
    <row r="15" spans="1:13" x14ac:dyDescent="0.3">
      <c r="B15" s="2"/>
      <c r="C15" s="2"/>
      <c r="D15" s="9"/>
      <c r="E15" s="2"/>
      <c r="F15" s="2"/>
      <c r="G15" s="2"/>
    </row>
    <row r="16" spans="1:13" s="11" customFormat="1" x14ac:dyDescent="0.3">
      <c r="B16" s="12"/>
      <c r="C16" s="12"/>
      <c r="D16" s="13"/>
      <c r="E16" s="12"/>
      <c r="F16" s="12"/>
      <c r="G16" s="12"/>
    </row>
    <row r="18" spans="1:14" x14ac:dyDescent="0.3">
      <c r="A18" s="20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4" x14ac:dyDescent="0.3">
      <c r="A19" s="16" t="s">
        <v>14</v>
      </c>
      <c r="B19" s="16" t="s">
        <v>29</v>
      </c>
      <c r="C19" s="16" t="s">
        <v>30</v>
      </c>
      <c r="D19" s="5"/>
      <c r="E19" s="5"/>
      <c r="F19" s="5"/>
      <c r="G19" s="5"/>
      <c r="H19" s="5"/>
      <c r="I19" s="5"/>
      <c r="J19" s="5"/>
      <c r="K19" s="5"/>
      <c r="M19" s="4" t="s">
        <v>7</v>
      </c>
      <c r="N19" s="1">
        <f>N20+N22</f>
        <v>19</v>
      </c>
    </row>
    <row r="20" spans="1:14" x14ac:dyDescent="0.3">
      <c r="A20" s="19" t="s">
        <v>14</v>
      </c>
      <c r="B20" s="19" t="s">
        <v>12</v>
      </c>
      <c r="C20" s="19" t="s">
        <v>13</v>
      </c>
      <c r="M20" s="6" t="s">
        <v>4</v>
      </c>
      <c r="N20" s="1">
        <v>19</v>
      </c>
    </row>
    <row r="21" spans="1:14" x14ac:dyDescent="0.3">
      <c r="A21" s="19" t="s">
        <v>17</v>
      </c>
      <c r="B21" s="19" t="s">
        <v>15</v>
      </c>
      <c r="C21" s="19" t="s">
        <v>16</v>
      </c>
      <c r="M21" s="7" t="s">
        <v>5</v>
      </c>
      <c r="N21" s="1">
        <v>0</v>
      </c>
    </row>
    <row r="22" spans="1:14" x14ac:dyDescent="0.3">
      <c r="A22" s="19" t="s">
        <v>22</v>
      </c>
      <c r="B22" s="19" t="s">
        <v>18</v>
      </c>
      <c r="C22" s="19" t="s">
        <v>19</v>
      </c>
      <c r="M22" s="8" t="s">
        <v>6</v>
      </c>
      <c r="N22" s="1">
        <v>0</v>
      </c>
    </row>
    <row r="23" spans="1:14" x14ac:dyDescent="0.3">
      <c r="A23" s="19" t="s">
        <v>20</v>
      </c>
      <c r="B23" s="19" t="s">
        <v>20</v>
      </c>
      <c r="C23" s="19" t="s">
        <v>21</v>
      </c>
      <c r="M23" s="4" t="s">
        <v>1</v>
      </c>
      <c r="N23" s="15">
        <f>N20/(N20+N21)</f>
        <v>1</v>
      </c>
    </row>
    <row r="24" spans="1:14" x14ac:dyDescent="0.3">
      <c r="A24" s="19" t="s">
        <v>25</v>
      </c>
      <c r="B24" s="17"/>
      <c r="C24" s="19" t="s">
        <v>23</v>
      </c>
      <c r="M24" s="4" t="s">
        <v>2</v>
      </c>
      <c r="N24" s="15">
        <f>N20/N19</f>
        <v>1</v>
      </c>
    </row>
    <row r="25" spans="1:14" x14ac:dyDescent="0.3">
      <c r="A25" s="19" t="s">
        <v>26</v>
      </c>
      <c r="B25" s="17"/>
      <c r="C25" s="19" t="s">
        <v>24</v>
      </c>
    </row>
    <row r="26" spans="1:14" x14ac:dyDescent="0.3">
      <c r="A26" s="19" t="s">
        <v>28</v>
      </c>
      <c r="B26" s="17"/>
      <c r="C26" s="19" t="s">
        <v>20</v>
      </c>
    </row>
    <row r="27" spans="1:14" x14ac:dyDescent="0.3">
      <c r="B27" s="17"/>
      <c r="C27" s="19" t="s">
        <v>27</v>
      </c>
    </row>
    <row r="28" spans="1:14" x14ac:dyDescent="0.3">
      <c r="B28" s="17"/>
      <c r="C28" s="17"/>
    </row>
    <row r="30" spans="1:14" x14ac:dyDescent="0.3">
      <c r="A30" s="14" t="s">
        <v>31</v>
      </c>
    </row>
    <row r="31" spans="1:14" x14ac:dyDescent="0.3">
      <c r="A31" s="1"/>
    </row>
    <row r="32" spans="1:1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</sheetData>
  <sortState xmlns:xlrd2="http://schemas.microsoft.com/office/spreadsheetml/2017/richdata2" ref="K20:K49">
    <sortCondition ref="K20:K49"/>
  </sortState>
  <mergeCells count="4">
    <mergeCell ref="A6:K6"/>
    <mergeCell ref="A18:K18"/>
    <mergeCell ref="A1:K1"/>
    <mergeCell ref="A11:K11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robot-shop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2026-02-08T09:26:06Z</dcterms:modified>
</cp:coreProperties>
</file>