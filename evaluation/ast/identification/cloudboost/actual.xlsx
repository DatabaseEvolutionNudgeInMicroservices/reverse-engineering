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loudboost\"/>
    </mc:Choice>
  </mc:AlternateContent>
  <xr:revisionPtr revIDLastSave="0" documentId="13_ncr:1_{D78ECCB7-8511-4322-8949-6CFC53DB72EC}" xr6:coauthVersionLast="47" xr6:coauthVersionMax="47" xr10:uidLastSave="{00000000-0000-0000-0000-000000000000}"/>
  <bookViews>
    <workbookView xWindow="-108" yWindow="-108" windowWidth="23256" windowHeight="12456" xr2:uid="{306A26B2-3BE7-4C40-B84F-457526F25D94}"/>
  </bookViews>
  <sheets>
    <sheet name="cloudboost analysi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M14" i="13" l="1"/>
  <c r="M13" i="13"/>
  <c r="N24" i="13" l="1"/>
  <c r="N23" i="13"/>
  <c r="M3" i="13" l="1"/>
  <c r="M4" i="13"/>
  <c r="M8" i="13"/>
  <c r="M9" i="13"/>
</calcChain>
</file>

<file path=xl/sharedStrings.xml><?xml version="1.0" encoding="utf-8"?>
<sst xmlns="http://schemas.openxmlformats.org/spreadsheetml/2006/main" count="92" uniqueCount="74">
  <si>
    <t>Scores</t>
  </si>
  <si>
    <t>Precision</t>
  </si>
  <si>
    <t>Recall</t>
  </si>
  <si>
    <t>Concepts</t>
  </si>
  <si>
    <t>TP</t>
  </si>
  <si>
    <t>FP</t>
  </si>
  <si>
    <t>FN</t>
  </si>
  <si>
    <t>Ground truth</t>
  </si>
  <si>
    <t>Mean</t>
  </si>
  <si>
    <t>API Express Identification Precision and Recall</t>
  </si>
  <si>
    <t>DB Mongo Identification Precision and Recall</t>
  </si>
  <si>
    <t>N/A</t>
  </si>
  <si>
    <t>login</t>
  </si>
  <si>
    <t>user</t>
  </si>
  <si>
    <t>data-service</t>
  </si>
  <si>
    <t>admin</t>
  </si>
  <si>
    <t>masterkey</t>
  </si>
  <si>
    <t>clientkey</t>
  </si>
  <si>
    <t>dbaccess</t>
  </si>
  <si>
    <t>enable</t>
  </si>
  <si>
    <t>app</t>
  </si>
  <si>
    <t>token</t>
  </si>
  <si>
    <t>backup</t>
  </si>
  <si>
    <t>exportdb</t>
  </si>
  <si>
    <t>importdb</t>
  </si>
  <si>
    <t>export</t>
  </si>
  <si>
    <t>import</t>
  </si>
  <si>
    <t>appfile</t>
  </si>
  <si>
    <t>icon</t>
  </si>
  <si>
    <t>file</t>
  </si>
  <si>
    <t>auth</t>
  </si>
  <si>
    <t>twitter</t>
  </si>
  <si>
    <t>callback</t>
  </si>
  <si>
    <t>github</t>
  </si>
  <si>
    <t>linkedin</t>
  </si>
  <si>
    <t>google</t>
  </si>
  <si>
    <t>facebook</t>
  </si>
  <si>
    <t xml:space="preserve">db </t>
  </si>
  <si>
    <t>mongo</t>
  </si>
  <si>
    <t>disconnect</t>
  </si>
  <si>
    <t>connect</t>
  </si>
  <si>
    <t>email</t>
  </si>
  <si>
    <t>campaign</t>
  </si>
  <si>
    <t>page</t>
  </si>
  <si>
    <t>reset password</t>
  </si>
  <si>
    <t>reset user password</t>
  </si>
  <si>
    <t>authentication</t>
  </si>
  <si>
    <t>verify</t>
  </si>
  <si>
    <t>server</t>
  </si>
  <si>
    <t>url</t>
  </si>
  <si>
    <t>data</t>
  </si>
  <si>
    <t>find</t>
  </si>
  <si>
    <t>count</t>
  </si>
  <si>
    <t>distinct</t>
  </si>
  <si>
    <t>status</t>
  </si>
  <si>
    <t>find one</t>
  </si>
  <si>
    <t>current user</t>
  </si>
  <si>
    <t>loginwithprovider</t>
  </si>
  <si>
    <t>signup</t>
  </si>
  <si>
    <t>logout</t>
  </si>
  <si>
    <t>change password</t>
  </si>
  <si>
    <t>add to role</t>
  </si>
  <si>
    <t>remove from role</t>
  </si>
  <si>
    <t>get file</t>
  </si>
  <si>
    <t>document</t>
  </si>
  <si>
    <t>fs</t>
  </si>
  <si>
    <t>collection</t>
  </si>
  <si>
    <t>schema</t>
  </si>
  <si>
    <t>project</t>
  </si>
  <si>
    <t>cb api plan</t>
  </si>
  <si>
    <t xml:space="preserve"> cb socket</t>
  </si>
  <si>
    <t>setting</t>
  </si>
  <si>
    <t>port</t>
  </si>
  <si>
    <t>⚠️ This is calculated on the basis of the result of the identification algorithm with minimum score of 4 (Express), 3 (Mongo), 3 (Redis) and the interpretation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</si>
</sst>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  <xf numFmtId="10" fontId="0" fillId="0" borderId="0" xfId="1" applyNumberFormat="1" applyFont="1" applyFill="1" applyAlignment="1">
      <alignment horizontal="center"/>
    </xf>
    <xf numFmtId="10" fontId="3" fillId="0" borderId="0" xfId="1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9" fontId="0" fillId="0" borderId="0" xfId="1" applyFont="1" applyFill="1" applyAlignment="1">
      <alignment horizontal="center"/>
    </xf>
    <xf numFmtId="10" fontId="0" fillId="0" borderId="0" xfId="1" applyNumberFormat="1" applyFont="1"/>
    <xf numFmtId="10" fontId="3" fillId="0" borderId="0" xfId="1" applyNumberFormat="1" applyFont="1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3" borderId="0" xfId="0" applyFill="1"/>
    <xf numFmtId="0" fontId="1" fillId="5" borderId="0" xfId="0" applyFont="1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N81"/>
  <sheetViews>
    <sheetView tabSelected="1" zoomScaleNormal="100" workbookViewId="0">
      <selection activeCell="A3" sqref="A3"/>
    </sheetView>
  </sheetViews>
  <sheetFormatPr baseColWidth="10" defaultRowHeight="14.4" x14ac:dyDescent="0.3"/>
  <cols>
    <col min="1" max="1" width="17.88671875" customWidth="1"/>
    <col min="2" max="2" width="17.109375" bestFit="1" customWidth="1"/>
    <col min="3" max="7" width="15.77734375" customWidth="1"/>
    <col min="8" max="8" width="18.88671875" bestFit="1" customWidth="1"/>
    <col min="9" max="9" width="17.88671875" bestFit="1" customWidth="1"/>
    <col min="10" max="10" width="15.77734375" customWidth="1"/>
    <col min="11" max="11" width="21.5546875" bestFit="1" customWidth="1"/>
    <col min="12" max="14" width="15.77734375" customWidth="1"/>
  </cols>
  <sheetData>
    <row r="1" spans="1:13" x14ac:dyDescent="0.3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27"/>
      <c r="K1" s="27"/>
      <c r="M1" s="4" t="s">
        <v>8</v>
      </c>
    </row>
    <row r="2" spans="1:13" x14ac:dyDescent="0.3">
      <c r="A2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M2" s="1"/>
    </row>
    <row r="3" spans="1:13" x14ac:dyDescent="0.3">
      <c r="A3" t="s">
        <v>1</v>
      </c>
      <c r="B3" s="16">
        <v>0.293333333333333</v>
      </c>
      <c r="C3" s="2">
        <v>0.61682242990654201</v>
      </c>
      <c r="D3" s="2">
        <v>0.95652173913043403</v>
      </c>
      <c r="E3" s="9">
        <v>1</v>
      </c>
      <c r="F3" s="10">
        <v>1</v>
      </c>
      <c r="G3" s="17" t="s">
        <v>11</v>
      </c>
      <c r="H3" s="17" t="s">
        <v>11</v>
      </c>
      <c r="I3" s="17" t="s">
        <v>11</v>
      </c>
      <c r="J3" s="20"/>
      <c r="K3" s="20"/>
      <c r="M3" s="3">
        <f>AVERAGE(B3:I3)</f>
        <v>0.77333550047406185</v>
      </c>
    </row>
    <row r="4" spans="1:13" x14ac:dyDescent="0.3">
      <c r="A4" t="s">
        <v>2</v>
      </c>
      <c r="B4" s="19">
        <v>1</v>
      </c>
      <c r="C4" s="2">
        <v>1</v>
      </c>
      <c r="D4" s="2">
        <v>1</v>
      </c>
      <c r="E4" s="9">
        <v>0.98484848484848397</v>
      </c>
      <c r="F4" s="10">
        <v>0.98484848484848397</v>
      </c>
      <c r="G4" s="19">
        <v>0</v>
      </c>
      <c r="H4" s="19">
        <v>0</v>
      </c>
      <c r="I4" s="19">
        <v>0</v>
      </c>
      <c r="J4" s="20"/>
      <c r="K4" s="20"/>
      <c r="M4" s="3">
        <f>AVERAGE(B4:I4)</f>
        <v>0.62121212121212099</v>
      </c>
    </row>
    <row r="5" spans="1:13" x14ac:dyDescent="0.3">
      <c r="M5" s="1"/>
    </row>
    <row r="6" spans="1:13" x14ac:dyDescent="0.3">
      <c r="A6" s="27" t="s">
        <v>10</v>
      </c>
      <c r="B6" s="27"/>
      <c r="C6" s="27"/>
      <c r="D6" s="27"/>
      <c r="E6" s="27"/>
      <c r="F6" s="27"/>
      <c r="G6" s="27"/>
      <c r="H6" s="27"/>
      <c r="I6" s="27"/>
      <c r="J6" s="27"/>
      <c r="K6" s="27"/>
      <c r="M6" s="4" t="s">
        <v>8</v>
      </c>
    </row>
    <row r="7" spans="1:13" x14ac:dyDescent="0.3">
      <c r="A7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M7" s="1"/>
    </row>
    <row r="8" spans="1:13" x14ac:dyDescent="0.3">
      <c r="A8" t="s">
        <v>1</v>
      </c>
      <c r="B8" s="21">
        <v>0.53157894736842104</v>
      </c>
      <c r="C8" s="10">
        <v>0.639240506329113</v>
      </c>
      <c r="D8" s="9">
        <v>0.97938144329896903</v>
      </c>
      <c r="E8" s="17">
        <v>1</v>
      </c>
      <c r="F8" s="17" t="s">
        <v>11</v>
      </c>
      <c r="G8" s="17" t="s">
        <v>11</v>
      </c>
      <c r="H8" s="20"/>
      <c r="I8" s="20"/>
      <c r="J8" s="20"/>
      <c r="K8" s="20"/>
      <c r="M8" s="3">
        <f>AVERAGE(B8:G8)</f>
        <v>0.7875502242491258</v>
      </c>
    </row>
    <row r="9" spans="1:13" x14ac:dyDescent="0.3">
      <c r="A9" t="s">
        <v>2</v>
      </c>
      <c r="B9" s="22">
        <v>1</v>
      </c>
      <c r="C9" s="10">
        <v>1</v>
      </c>
      <c r="D9" s="9">
        <v>0.94059405940593999</v>
      </c>
      <c r="E9" s="16">
        <v>0.366336633663366</v>
      </c>
      <c r="F9" s="19">
        <v>0</v>
      </c>
      <c r="G9" s="19">
        <v>0</v>
      </c>
      <c r="H9" s="20"/>
      <c r="I9" s="20"/>
      <c r="J9" s="20"/>
      <c r="K9" s="20"/>
      <c r="M9" s="3">
        <f>AVERAGE(B9:G9)</f>
        <v>0.55115511551155105</v>
      </c>
    </row>
    <row r="10" spans="1:13" x14ac:dyDescent="0.3">
      <c r="B10" s="10"/>
      <c r="C10" s="2"/>
      <c r="D10" s="2"/>
      <c r="E10" s="2"/>
      <c r="F10" s="2"/>
      <c r="G10" s="2"/>
    </row>
    <row r="11" spans="1:13" x14ac:dyDescent="0.3">
      <c r="A11" s="27" t="s">
        <v>9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M11" s="4" t="s">
        <v>8</v>
      </c>
    </row>
    <row r="12" spans="1:13" x14ac:dyDescent="0.3">
      <c r="A12" t="s">
        <v>0</v>
      </c>
      <c r="B12" s="5">
        <v>1</v>
      </c>
      <c r="C12" s="5">
        <v>2</v>
      </c>
      <c r="D12" s="5">
        <v>3</v>
      </c>
      <c r="E12" s="5">
        <v>4</v>
      </c>
      <c r="F12" s="5">
        <v>5</v>
      </c>
      <c r="G12" s="5">
        <v>6</v>
      </c>
      <c r="H12" s="5"/>
      <c r="I12" s="5"/>
      <c r="M12" s="1"/>
    </row>
    <row r="13" spans="1:13" x14ac:dyDescent="0.3">
      <c r="A13" t="s">
        <v>1</v>
      </c>
      <c r="B13" s="23">
        <v>9.7560975609756101E-2</v>
      </c>
      <c r="C13" s="2">
        <v>0.32876712328767099</v>
      </c>
      <c r="D13" s="9">
        <v>0.91304347826086896</v>
      </c>
      <c r="E13" s="17" t="s">
        <v>11</v>
      </c>
      <c r="F13" s="17" t="s">
        <v>11</v>
      </c>
      <c r="G13" s="17" t="s">
        <v>11</v>
      </c>
      <c r="H13" s="20"/>
      <c r="I13" s="20"/>
      <c r="J13" s="20"/>
      <c r="K13" s="20"/>
      <c r="M13" s="3">
        <f>AVERAGE(B13:I13)</f>
        <v>0.44645719238609871</v>
      </c>
    </row>
    <row r="14" spans="1:13" x14ac:dyDescent="0.3">
      <c r="A14" t="s">
        <v>2</v>
      </c>
      <c r="B14" s="22">
        <v>1</v>
      </c>
      <c r="C14" s="2">
        <v>1</v>
      </c>
      <c r="D14" s="9">
        <v>0.875</v>
      </c>
      <c r="E14" s="19">
        <v>0</v>
      </c>
      <c r="F14" s="19">
        <v>0</v>
      </c>
      <c r="G14" s="19">
        <v>0</v>
      </c>
      <c r="H14" s="20"/>
      <c r="I14" s="20"/>
      <c r="J14" s="20"/>
      <c r="K14" s="20"/>
      <c r="M14" s="3">
        <f>AVERAGE(B14:I14)</f>
        <v>0.47916666666666669</v>
      </c>
    </row>
    <row r="15" spans="1:13" x14ac:dyDescent="0.3">
      <c r="B15" s="2"/>
      <c r="C15" s="2"/>
      <c r="D15" s="9"/>
      <c r="E15" s="2"/>
      <c r="F15" s="10"/>
      <c r="G15" s="2"/>
    </row>
    <row r="16" spans="1:13" s="11" customFormat="1" x14ac:dyDescent="0.3">
      <c r="B16" s="12"/>
      <c r="C16" s="12"/>
      <c r="D16" s="13"/>
      <c r="E16" s="12"/>
      <c r="F16" s="12"/>
      <c r="G16" s="12"/>
    </row>
    <row r="18" spans="1:14" x14ac:dyDescent="0.3">
      <c r="A18" s="27" t="s">
        <v>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4" x14ac:dyDescent="0.3">
      <c r="A19" s="18" t="s">
        <v>14</v>
      </c>
      <c r="E19" s="5"/>
      <c r="F19" s="5"/>
      <c r="G19" s="5"/>
      <c r="H19" s="5"/>
      <c r="I19" s="5"/>
      <c r="J19" s="5"/>
      <c r="K19" s="5"/>
      <c r="M19" s="4" t="s">
        <v>7</v>
      </c>
      <c r="N19" s="1">
        <f>N20+N22</f>
        <v>57</v>
      </c>
    </row>
    <row r="20" spans="1:14" x14ac:dyDescent="0.3">
      <c r="A20" s="24" t="s">
        <v>15</v>
      </c>
      <c r="M20" s="6" t="s">
        <v>4</v>
      </c>
      <c r="N20" s="1">
        <v>56</v>
      </c>
    </row>
    <row r="21" spans="1:14" x14ac:dyDescent="0.3">
      <c r="A21" s="24" t="s">
        <v>16</v>
      </c>
      <c r="M21" s="7" t="s">
        <v>5</v>
      </c>
      <c r="N21" s="1">
        <v>3</v>
      </c>
    </row>
    <row r="22" spans="1:14" x14ac:dyDescent="0.3">
      <c r="A22" s="24" t="s">
        <v>17</v>
      </c>
      <c r="M22" s="8" t="s">
        <v>6</v>
      </c>
      <c r="N22" s="1">
        <v>1</v>
      </c>
    </row>
    <row r="23" spans="1:14" x14ac:dyDescent="0.3">
      <c r="A23" s="24" t="s">
        <v>18</v>
      </c>
      <c r="M23" s="4" t="s">
        <v>1</v>
      </c>
      <c r="N23" s="15">
        <f>N20/(N20+N21)</f>
        <v>0.94915254237288138</v>
      </c>
    </row>
    <row r="24" spans="1:14" x14ac:dyDescent="0.3">
      <c r="A24" s="24" t="s">
        <v>19</v>
      </c>
      <c r="M24" s="4" t="s">
        <v>2</v>
      </c>
      <c r="N24" s="15">
        <f>N20/N19</f>
        <v>0.98245614035087714</v>
      </c>
    </row>
    <row r="25" spans="1:14" x14ac:dyDescent="0.3">
      <c r="A25" s="24" t="s">
        <v>20</v>
      </c>
    </row>
    <row r="26" spans="1:14" x14ac:dyDescent="0.3">
      <c r="A26" s="24" t="s">
        <v>21</v>
      </c>
    </row>
    <row r="27" spans="1:14" x14ac:dyDescent="0.3">
      <c r="A27" s="24" t="s">
        <v>22</v>
      </c>
    </row>
    <row r="28" spans="1:14" x14ac:dyDescent="0.3">
      <c r="A28" s="24" t="s">
        <v>23</v>
      </c>
    </row>
    <row r="29" spans="1:14" x14ac:dyDescent="0.3">
      <c r="A29" s="24" t="s">
        <v>24</v>
      </c>
    </row>
    <row r="30" spans="1:14" x14ac:dyDescent="0.3">
      <c r="A30" s="24" t="s">
        <v>25</v>
      </c>
    </row>
    <row r="31" spans="1:14" x14ac:dyDescent="0.3">
      <c r="A31" s="24" t="s">
        <v>26</v>
      </c>
    </row>
    <row r="32" spans="1:14" x14ac:dyDescent="0.3">
      <c r="A32" s="24" t="s">
        <v>27</v>
      </c>
    </row>
    <row r="33" spans="1:1" x14ac:dyDescent="0.3">
      <c r="A33" s="24" t="s">
        <v>28</v>
      </c>
    </row>
    <row r="34" spans="1:1" x14ac:dyDescent="0.3">
      <c r="A34" s="24" t="s">
        <v>71</v>
      </c>
    </row>
    <row r="35" spans="1:1" x14ac:dyDescent="0.3">
      <c r="A35" s="24" t="s">
        <v>29</v>
      </c>
    </row>
    <row r="36" spans="1:1" x14ac:dyDescent="0.3">
      <c r="A36" s="24" t="s">
        <v>30</v>
      </c>
    </row>
    <row r="37" spans="1:1" x14ac:dyDescent="0.3">
      <c r="A37" s="24" t="s">
        <v>31</v>
      </c>
    </row>
    <row r="38" spans="1:1" x14ac:dyDescent="0.3">
      <c r="A38" s="24" t="s">
        <v>32</v>
      </c>
    </row>
    <row r="39" spans="1:1" x14ac:dyDescent="0.3">
      <c r="A39" s="24" t="s">
        <v>33</v>
      </c>
    </row>
    <row r="40" spans="1:1" x14ac:dyDescent="0.3">
      <c r="A40" s="24" t="s">
        <v>34</v>
      </c>
    </row>
    <row r="41" spans="1:1" x14ac:dyDescent="0.3">
      <c r="A41" s="24" t="s">
        <v>35</v>
      </c>
    </row>
    <row r="42" spans="1:1" x14ac:dyDescent="0.3">
      <c r="A42" s="24" t="s">
        <v>36</v>
      </c>
    </row>
    <row r="43" spans="1:1" x14ac:dyDescent="0.3">
      <c r="A43" s="24" t="s">
        <v>37</v>
      </c>
    </row>
    <row r="44" spans="1:1" x14ac:dyDescent="0.3">
      <c r="A44" s="24" t="s">
        <v>38</v>
      </c>
    </row>
    <row r="45" spans="1:1" x14ac:dyDescent="0.3">
      <c r="A45" s="24" t="s">
        <v>39</v>
      </c>
    </row>
    <row r="46" spans="1:1" x14ac:dyDescent="0.3">
      <c r="A46" s="24" t="s">
        <v>40</v>
      </c>
    </row>
    <row r="47" spans="1:1" x14ac:dyDescent="0.3">
      <c r="A47" s="24" t="s">
        <v>41</v>
      </c>
    </row>
    <row r="48" spans="1:1" x14ac:dyDescent="0.3">
      <c r="A48" s="24" t="s">
        <v>42</v>
      </c>
    </row>
    <row r="49" spans="1:1" x14ac:dyDescent="0.3">
      <c r="A49" s="24" t="s">
        <v>43</v>
      </c>
    </row>
    <row r="50" spans="1:1" x14ac:dyDescent="0.3">
      <c r="A50" s="24" t="s">
        <v>44</v>
      </c>
    </row>
    <row r="51" spans="1:1" x14ac:dyDescent="0.3">
      <c r="A51" s="24" t="s">
        <v>45</v>
      </c>
    </row>
    <row r="52" spans="1:1" x14ac:dyDescent="0.3">
      <c r="A52" s="24" t="s">
        <v>46</v>
      </c>
    </row>
    <row r="53" spans="1:1" x14ac:dyDescent="0.3">
      <c r="A53" s="24" t="s">
        <v>47</v>
      </c>
    </row>
    <row r="54" spans="1:1" x14ac:dyDescent="0.3">
      <c r="A54" s="24" t="s">
        <v>48</v>
      </c>
    </row>
    <row r="55" spans="1:1" x14ac:dyDescent="0.3">
      <c r="A55" s="24" t="s">
        <v>49</v>
      </c>
    </row>
    <row r="56" spans="1:1" x14ac:dyDescent="0.3">
      <c r="A56" s="24" t="s">
        <v>50</v>
      </c>
    </row>
    <row r="57" spans="1:1" x14ac:dyDescent="0.3">
      <c r="A57" s="24" t="s">
        <v>51</v>
      </c>
    </row>
    <row r="58" spans="1:1" x14ac:dyDescent="0.3">
      <c r="A58" s="24" t="s">
        <v>52</v>
      </c>
    </row>
    <row r="59" spans="1:1" x14ac:dyDescent="0.3">
      <c r="A59" s="24" t="s">
        <v>53</v>
      </c>
    </row>
    <row r="60" spans="1:1" x14ac:dyDescent="0.3">
      <c r="A60" s="24" t="s">
        <v>54</v>
      </c>
    </row>
    <row r="61" spans="1:1" x14ac:dyDescent="0.3">
      <c r="A61" s="24" t="s">
        <v>55</v>
      </c>
    </row>
    <row r="62" spans="1:1" x14ac:dyDescent="0.3">
      <c r="A62" s="24" t="s">
        <v>13</v>
      </c>
    </row>
    <row r="63" spans="1:1" x14ac:dyDescent="0.3">
      <c r="A63" s="24" t="s">
        <v>56</v>
      </c>
    </row>
    <row r="64" spans="1:1" x14ac:dyDescent="0.3">
      <c r="A64" s="24" t="s">
        <v>12</v>
      </c>
    </row>
    <row r="65" spans="1:1" x14ac:dyDescent="0.3">
      <c r="A65" s="24" t="s">
        <v>57</v>
      </c>
    </row>
    <row r="66" spans="1:1" x14ac:dyDescent="0.3">
      <c r="A66" s="24" t="s">
        <v>58</v>
      </c>
    </row>
    <row r="67" spans="1:1" x14ac:dyDescent="0.3">
      <c r="A67" s="24" t="s">
        <v>59</v>
      </c>
    </row>
    <row r="68" spans="1:1" x14ac:dyDescent="0.3">
      <c r="A68" s="24" t="s">
        <v>60</v>
      </c>
    </row>
    <row r="69" spans="1:1" x14ac:dyDescent="0.3">
      <c r="A69" s="24" t="s">
        <v>61</v>
      </c>
    </row>
    <row r="70" spans="1:1" x14ac:dyDescent="0.3">
      <c r="A70" s="24" t="s">
        <v>62</v>
      </c>
    </row>
    <row r="71" spans="1:1" x14ac:dyDescent="0.3">
      <c r="A71" s="24" t="s">
        <v>63</v>
      </c>
    </row>
    <row r="72" spans="1:1" x14ac:dyDescent="0.3">
      <c r="A72" s="26" t="s">
        <v>64</v>
      </c>
    </row>
    <row r="73" spans="1:1" x14ac:dyDescent="0.3">
      <c r="A73" s="24" t="s">
        <v>65</v>
      </c>
    </row>
    <row r="74" spans="1:1" x14ac:dyDescent="0.3">
      <c r="A74" s="26" t="s">
        <v>66</v>
      </c>
    </row>
    <row r="75" spans="1:1" x14ac:dyDescent="0.3">
      <c r="A75" s="25" t="s">
        <v>67</v>
      </c>
    </row>
    <row r="76" spans="1:1" x14ac:dyDescent="0.3">
      <c r="A76" s="24" t="s">
        <v>68</v>
      </c>
    </row>
    <row r="77" spans="1:1" x14ac:dyDescent="0.3">
      <c r="A77" s="24" t="s">
        <v>69</v>
      </c>
    </row>
    <row r="78" spans="1:1" x14ac:dyDescent="0.3">
      <c r="A78" s="24" t="s">
        <v>70</v>
      </c>
    </row>
    <row r="79" spans="1:1" x14ac:dyDescent="0.3">
      <c r="A79" s="26" t="s">
        <v>72</v>
      </c>
    </row>
    <row r="81" spans="1:1" x14ac:dyDescent="0.3">
      <c r="A81" s="14" t="s">
        <v>73</v>
      </c>
    </row>
  </sheetData>
  <sortState xmlns:xlrd2="http://schemas.microsoft.com/office/spreadsheetml/2017/richdata2" ref="K20:K49">
    <sortCondition ref="K20:K49"/>
  </sortState>
  <mergeCells count="4">
    <mergeCell ref="A6:K6"/>
    <mergeCell ref="A18:K18"/>
    <mergeCell ref="A1:K1"/>
    <mergeCell ref="A11:K11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cloudboost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2026-02-06T12:54:17Z</dcterms:modified>
</cp:coreProperties>
</file>