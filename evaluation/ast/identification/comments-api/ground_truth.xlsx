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comments-api\"/>
    </mc:Choice>
  </mc:AlternateContent>
  <xr:revisionPtr revIDLastSave="0" documentId="13_ncr:1_{B6DC48CD-9D5F-4374-B997-2B01EB2B629B}" xr6:coauthVersionLast="47" xr6:coauthVersionMax="47" xr10:uidLastSave="{00000000-0000-0000-0000-000000000000}"/>
  <bookViews>
    <workbookView xWindow="14505" yWindow="-16350" windowWidth="29040" windowHeight="15720" xr2:uid="{306A26B2-3BE7-4C40-B84F-457526F25D94}"/>
  </bookViews>
  <sheets>
    <sheet name="comments-api data" sheetId="12" r:id="rId1"/>
    <sheet name="comments-api analysi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3" l="1"/>
  <c r="F9" i="13" s="1"/>
  <c r="G8" i="13"/>
  <c r="G9" i="13" s="1"/>
  <c r="E8" i="13"/>
  <c r="E9" i="13" s="1"/>
  <c r="D3" i="13"/>
  <c r="D4" i="13" s="1"/>
  <c r="G5" i="12"/>
  <c r="G6" i="12"/>
  <c r="G7" i="12"/>
  <c r="G8" i="12"/>
  <c r="G9" i="12"/>
  <c r="G4" i="12"/>
  <c r="V21" i="12"/>
  <c r="V20" i="12"/>
  <c r="V19" i="12"/>
  <c r="V18" i="12"/>
  <c r="V17" i="12"/>
  <c r="V16" i="12"/>
  <c r="V15" i="12"/>
  <c r="V13" i="12"/>
  <c r="V12" i="12"/>
  <c r="V11" i="12"/>
  <c r="V10" i="12"/>
  <c r="V5" i="12"/>
  <c r="V6" i="12"/>
  <c r="V7" i="12"/>
  <c r="V8" i="12"/>
  <c r="V9" i="12"/>
  <c r="V14" i="12"/>
  <c r="V4" i="12" l="1"/>
  <c r="D8" i="13" l="1"/>
  <c r="D9" i="13" s="1"/>
  <c r="C8" i="13"/>
  <c r="C9" i="13" s="1"/>
  <c r="B8" i="13"/>
  <c r="B9" i="13" s="1"/>
  <c r="I3" i="13"/>
  <c r="I4" i="13" s="1"/>
  <c r="H3" i="13"/>
  <c r="H4" i="13" s="1"/>
  <c r="G3" i="13"/>
  <c r="G4" i="13" s="1"/>
  <c r="F3" i="13"/>
  <c r="F4" i="13" s="1"/>
  <c r="E3" i="13"/>
  <c r="E4" i="13" s="1"/>
  <c r="C3" i="13"/>
  <c r="C4" i="13" s="1"/>
  <c r="B3" i="13"/>
  <c r="B4" i="13" s="1"/>
  <c r="F20" i="13" l="1"/>
  <c r="F21" i="13" s="1"/>
  <c r="E20" i="13"/>
  <c r="E21" i="13" s="1"/>
  <c r="G20" i="13"/>
  <c r="G21" i="13" s="1"/>
  <c r="D20" i="13"/>
  <c r="D21" i="13" s="1"/>
  <c r="C20" i="13"/>
  <c r="C21" i="13" s="1"/>
  <c r="B20" i="13"/>
  <c r="B21" i="13" s="1"/>
  <c r="H15" i="13"/>
  <c r="H16" i="13" s="1"/>
  <c r="E15" i="13"/>
  <c r="E16" i="13" s="1"/>
  <c r="G15" i="13"/>
  <c r="G16" i="13" s="1"/>
  <c r="F15" i="13"/>
  <c r="F16" i="13" s="1"/>
  <c r="B15" i="13"/>
  <c r="B16" i="13" s="1"/>
  <c r="D15" i="13"/>
  <c r="D16" i="13" s="1"/>
  <c r="C15" i="13"/>
  <c r="C16" i="13" s="1"/>
  <c r="I15" i="13"/>
  <c r="I16" i="13" s="1"/>
</calcChain>
</file>

<file path=xl/sharedStrings.xml><?xml version="1.0" encoding="utf-8"?>
<sst xmlns="http://schemas.openxmlformats.org/spreadsheetml/2006/main" count="135" uniqueCount="56">
  <si>
    <t>link</t>
  </si>
  <si>
    <t>line</t>
  </si>
  <si>
    <t>microservice</t>
  </si>
  <si>
    <t>API Express</t>
  </si>
  <si>
    <t>DB Mongo</t>
  </si>
  <si>
    <t>|</t>
  </si>
  <si>
    <t>operation</t>
  </si>
  <si>
    <t>parts</t>
  </si>
  <si>
    <t>score</t>
  </si>
  <si>
    <t>E1</t>
  </si>
  <si>
    <t>E2</t>
  </si>
  <si>
    <t>E3</t>
  </si>
  <si>
    <t>E4</t>
  </si>
  <si>
    <t>E5</t>
  </si>
  <si>
    <t>E6</t>
  </si>
  <si>
    <t>E7</t>
  </si>
  <si>
    <t>E8</t>
  </si>
  <si>
    <t>M1</t>
  </si>
  <si>
    <t>M2</t>
  </si>
  <si>
    <t>M3</t>
  </si>
  <si>
    <t>M4</t>
  </si>
  <si>
    <t>M5</t>
  </si>
  <si>
    <t>M6</t>
  </si>
  <si>
    <t>Occurrences</t>
  </si>
  <si>
    <t>Heuristics</t>
  </si>
  <si>
    <t>Scores</t>
  </si>
  <si>
    <t>Frequency</t>
  </si>
  <si>
    <t>API Express Heuristics Frequency</t>
  </si>
  <si>
    <t>DB Mongo Heuristics Frequency</t>
  </si>
  <si>
    <t>API Express Score Frequency</t>
  </si>
  <si>
    <t>DB Mongo Score Frequency</t>
  </si>
  <si>
    <t>comments-api</t>
  </si>
  <si>
    <t>collection</t>
  </si>
  <si>
    <t>....createIndexes [{ key : { hash : '1' }, name : 'hash_idx' }, { key : { postId : ... }, name : 'postId_idx' }, { key : { replyToId : ... }, name : 'replyToId_idx' }];</t>
  </si>
  <si>
    <t>https://github.com/dev-mastery/comments-api/blob/master/src/data-access/comments-db.js</t>
  </si>
  <si>
    <t xml:space="preserve">https://github.com/dev-mastery/comments-api/blob/master/db/index.js </t>
  </si>
  <si>
    <t>query</t>
  </si>
  <si>
    <t>'comments'</t>
  </si>
  <si>
    <t>{_id, …commentInfo}</t>
  </si>
  <si>
    <t>{_id}</t>
  </si>
  <si>
    <t>{hash: comment.hash}</t>
  </si>
  <si>
    <t>https://github.com/dev-mastery/comments-api/blob/master/src/index.js</t>
  </si>
  <si>
    <t>post</t>
  </si>
  <si>
    <t>delete</t>
  </si>
  <si>
    <t>patch</t>
  </si>
  <si>
    <t>get</t>
  </si>
  <si>
    <t>`${apiRoot}/comments/:id</t>
  </si>
  <si>
    <t>`${apiRoot}/comments`</t>
  </si>
  <si>
    <t>`${apiRoot}/comments/:id`</t>
  </si>
  <si>
    <t>Occurrences (&gt;=)</t>
  </si>
  <si>
    <t>collection('comments').createIndexes</t>
  </si>
  <si>
    <t>collection('comments').find</t>
  </si>
  <si>
    <t>collection('comments').insertOne</t>
  </si>
  <si>
    <t>collection('comments').updateOne</t>
  </si>
  <si>
    <t>collection('comments').deleteOne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</si>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</sst>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/>
    <xf numFmtId="0" fontId="3" fillId="3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quotePrefix="1" applyAlignment="1">
      <alignment horizontal="left"/>
    </xf>
    <xf numFmtId="0" fontId="3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9" fillId="0" borderId="0" xfId="2"/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3">
    <cellStyle name="Lien hypertexte" xfId="2" builtinId="8"/>
    <cellStyle name="Normal" xfId="0" builtinId="0"/>
    <cellStyle name="Pourcentage" xfId="1" builtinId="5"/>
  </cellStyles>
  <dxfs count="30"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>
          <fgColor indexed="64"/>
          <bgColor theme="3" tint="9.9978637043366805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FB2C5-4C52-49B7-8668-DCC8AFED8A62}" name="Tableau1" displayName="Tableau1" ref="B2:P169" totalsRowShown="0" headerRowDxfId="29">
  <autoFilter ref="B2:P169" xr:uid="{937FB2C5-4C52-49B7-8668-DCC8AFED8A62}"/>
  <tableColumns count="15">
    <tableColumn id="4" xr3:uid="{E8F787F0-AA53-4474-8312-4CCDD5B99AD6}" name="microservice" dataDxfId="28"/>
    <tableColumn id="1" xr3:uid="{67401E7C-608B-4925-BBDC-ECF3F83B9A43}" name="link" dataDxfId="27"/>
    <tableColumn id="2" xr3:uid="{B83E87C0-841B-49A1-BB2E-C826F2A3A1AF}" name="line" dataDxfId="26"/>
    <tableColumn id="6" xr3:uid="{EC6A52AC-0F8F-46A7-94D5-BE5F9648713E}" name="operation" dataDxfId="25"/>
    <tableColumn id="7" xr3:uid="{C980B045-8E6E-405C-8149-1369D81FA7BD}" name="sample" dataDxfId="24"/>
    <tableColumn id="17" xr3:uid="{59BD103A-6366-44ED-A905-3B41170604D1}" name="score" dataDxfId="23"/>
    <tableColumn id="16" xr3:uid="{2D4339DE-5852-470F-923F-F4AC8EAD5BDE}" name="E1" dataDxfId="22"/>
    <tableColumn id="15" xr3:uid="{F7A67696-E8A5-4BA9-B0E9-3742BAD94E0E}" name="E2" dataDxfId="21"/>
    <tableColumn id="14" xr3:uid="{E077594B-00A9-4230-B5E7-601F6C4EA821}" name="E3" dataDxfId="20"/>
    <tableColumn id="13" xr3:uid="{0480499B-3EEF-4C72-A88F-A4DDBC63CC6F}" name="E4" dataDxfId="19"/>
    <tableColumn id="12" xr3:uid="{D0E60AB5-FD9C-4D42-8EAD-FC45F80B5F72}" name="E5" dataDxfId="18"/>
    <tableColumn id="11" xr3:uid="{898809B7-BE56-4C34-AD75-AC5BAFDBA277}" name="E6" dataDxfId="17"/>
    <tableColumn id="10" xr3:uid="{1DA56A87-584F-4B96-9040-B1B84D30271D}" name="E7" dataDxfId="16"/>
    <tableColumn id="9" xr3:uid="{132A91A1-E3CD-4436-9E5C-440644BF2A9A}" name="E8" dataDxfId="15"/>
    <tableColumn id="5" xr3:uid="{E15BD63F-779C-4D12-AA5E-59FFA793BAE4}" name="|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10CE9-6212-4049-8B23-A55DA4F60FC3}" name="Tableau2" displayName="Tableau2" ref="Q2:AC118" totalsRowShown="0" headerRowDxfId="13">
  <autoFilter ref="Q2:AC118" xr:uid="{BE810CE9-6212-4049-8B23-A55DA4F60FC3}"/>
  <tableColumns count="13">
    <tableColumn id="1" xr3:uid="{10A843BB-255F-44B3-A4AA-2DCA8E0F8094}" name="microservice" dataDxfId="12"/>
    <tableColumn id="2" xr3:uid="{1793D7F1-8F52-4333-BAAC-C64F5BEEE065}" name="link" dataDxfId="11"/>
    <tableColumn id="3" xr3:uid="{231B7BF9-BE5A-4163-9A33-EBA834756FD6}" name="line" dataDxfId="10"/>
    <tableColumn id="8" xr3:uid="{FE52A56F-605B-46F9-A069-75469EE96206}" name="operation" dataDxfId="9"/>
    <tableColumn id="7" xr3:uid="{0DF29E59-2993-465B-9716-E0A65EA3A41C}" name="parts" dataDxfId="8"/>
    <tableColumn id="9" xr3:uid="{3ED1A6BF-9F0B-4F52-A776-8BF05D241B5D}" name="score" dataDxfId="7"/>
    <tableColumn id="10" xr3:uid="{2D2E28E6-0890-4A56-A02E-6A1D593AF4E3}" name="M1" dataDxfId="6"/>
    <tableColumn id="11" xr3:uid="{96AA2E3F-CAA6-432E-B09D-BE8E53EB0ECB}" name="M2" dataDxfId="5"/>
    <tableColumn id="12" xr3:uid="{4DEDF3CD-29C8-407B-8166-C6BDE8A948DB}" name="M3" dataDxfId="4"/>
    <tableColumn id="13" xr3:uid="{F3253C62-AF4A-44B9-9FC0-B7B2611FFDE8}" name="M4" dataDxfId="3"/>
    <tableColumn id="14" xr3:uid="{59201DE8-1330-4B8A-B687-6F23B8BCF967}" name="M5" dataDxfId="2"/>
    <tableColumn id="15" xr3:uid="{9777EAC6-923F-49B1-91B6-B343FD07B9F1}" name="M6" dataDxfId="1"/>
    <tableColumn id="5" xr3:uid="{7C4EC24C-9FF3-4A0F-BAFC-C51B3735F5E6}" name="|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ev-mastery/comments-api/blob/master/src/data-access/comments-db.js" TargetMode="External"/><Relationship Id="rId13" Type="http://schemas.openxmlformats.org/officeDocument/2006/relationships/hyperlink" Target="https://github.com/dev-mastery/comments-api/blob/master/src/data-access/comments-db.js" TargetMode="External"/><Relationship Id="rId18" Type="http://schemas.openxmlformats.org/officeDocument/2006/relationships/hyperlink" Target="https://github.com/dev-mastery/comments-api/blob/master/src/data-access/comments-db.js" TargetMode="External"/><Relationship Id="rId3" Type="http://schemas.openxmlformats.org/officeDocument/2006/relationships/hyperlink" Target="https://github.com/dev-mastery/comments-api/blob/master/db/index.js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github.com/dev-mastery/comments-api/blob/master/src/data-access/comments-db.js" TargetMode="External"/><Relationship Id="rId12" Type="http://schemas.openxmlformats.org/officeDocument/2006/relationships/hyperlink" Target="https://github.com/dev-mastery/comments-api/blob/master/src/data-access/comments-db.js" TargetMode="External"/><Relationship Id="rId17" Type="http://schemas.openxmlformats.org/officeDocument/2006/relationships/hyperlink" Target="https://github.com/dev-mastery/comments-api/blob/master/src/data-access/comments-db.js" TargetMode="External"/><Relationship Id="rId2" Type="http://schemas.openxmlformats.org/officeDocument/2006/relationships/hyperlink" Target="https://github.com/dev-mastery/comments-api/blob/master/db/index.js" TargetMode="External"/><Relationship Id="rId16" Type="http://schemas.openxmlformats.org/officeDocument/2006/relationships/hyperlink" Target="https://github.com/dev-mastery/comments-api/blob/master/src/data-access/comments-db.js" TargetMode="External"/><Relationship Id="rId20" Type="http://schemas.openxmlformats.org/officeDocument/2006/relationships/hyperlink" Target="https://github.com/dev-mastery/comments-api/blob/master/src/index.js" TargetMode="External"/><Relationship Id="rId1" Type="http://schemas.openxmlformats.org/officeDocument/2006/relationships/hyperlink" Target="https://github.com/dev-mastery/comments-api/blob/master/src/data-access/comments-db.js" TargetMode="External"/><Relationship Id="rId6" Type="http://schemas.openxmlformats.org/officeDocument/2006/relationships/hyperlink" Target="https://github.com/dev-mastery/comments-api/blob/master/src/data-access/comments-db.js" TargetMode="External"/><Relationship Id="rId11" Type="http://schemas.openxmlformats.org/officeDocument/2006/relationships/hyperlink" Target="https://github.com/dev-mastery/comments-api/blob/master/src/data-access/comments-db.js" TargetMode="External"/><Relationship Id="rId5" Type="http://schemas.openxmlformats.org/officeDocument/2006/relationships/hyperlink" Target="https://github.com/dev-mastery/comments-api/blob/master/src/data-access/comments-db.js" TargetMode="External"/><Relationship Id="rId15" Type="http://schemas.openxmlformats.org/officeDocument/2006/relationships/hyperlink" Target="https://github.com/dev-mastery/comments-api/blob/master/src/data-access/comments-db.js" TargetMode="External"/><Relationship Id="rId10" Type="http://schemas.openxmlformats.org/officeDocument/2006/relationships/hyperlink" Target="https://github.com/dev-mastery/comments-api/blob/master/src/data-access/comments-db.js" TargetMode="External"/><Relationship Id="rId19" Type="http://schemas.openxmlformats.org/officeDocument/2006/relationships/hyperlink" Target="https://github.com/dev-mastery/comments-api/blob/master/src/index.js" TargetMode="External"/><Relationship Id="rId4" Type="http://schemas.openxmlformats.org/officeDocument/2006/relationships/hyperlink" Target="https://github.com/dev-mastery/comments-api/blob/master/src/data-access/comments-db.js" TargetMode="External"/><Relationship Id="rId9" Type="http://schemas.openxmlformats.org/officeDocument/2006/relationships/hyperlink" Target="https://github.com/dev-mastery/comments-api/blob/master/src/data-access/comments-db.js" TargetMode="External"/><Relationship Id="rId14" Type="http://schemas.openxmlformats.org/officeDocument/2006/relationships/hyperlink" Target="https://github.com/dev-mastery/comments-api/blob/master/src/data-access/comments-db.js" TargetMode="External"/><Relationship Id="rId2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2540-E92C-4965-9A62-08C293B0E3AE}">
  <dimension ref="A1:AC170"/>
  <sheetViews>
    <sheetView tabSelected="1" zoomScale="50" zoomScaleNormal="50" workbookViewId="0">
      <selection activeCell="B1" sqref="B1:O1"/>
    </sheetView>
  </sheetViews>
  <sheetFormatPr baseColWidth="10" defaultRowHeight="14.4" x14ac:dyDescent="0.3"/>
  <cols>
    <col min="1" max="1" width="2.88671875" style="8" customWidth="1"/>
    <col min="2" max="2" width="31.109375" bestFit="1" customWidth="1"/>
    <col min="3" max="3" width="63" bestFit="1" customWidth="1"/>
    <col min="4" max="4" width="9.33203125" bestFit="1" customWidth="1"/>
    <col min="5" max="5" width="14" bestFit="1" customWidth="1"/>
    <col min="6" max="6" width="55.33203125" bestFit="1" customWidth="1"/>
    <col min="7" max="7" width="14.109375" customWidth="1"/>
    <col min="8" max="8" width="10.44140625" customWidth="1"/>
    <col min="9" max="10" width="10.77734375" customWidth="1"/>
    <col min="11" max="15" width="10.77734375" bestFit="1" customWidth="1"/>
    <col min="16" max="16" width="2.88671875" style="8" customWidth="1"/>
    <col min="17" max="17" width="17.44140625" bestFit="1" customWidth="1"/>
    <col min="18" max="18" width="88.21875" bestFit="1" customWidth="1"/>
    <col min="19" max="19" width="8.77734375" bestFit="1" customWidth="1"/>
    <col min="20" max="20" width="14" bestFit="1" customWidth="1"/>
    <col min="21" max="21" width="112.44140625" style="17" bestFit="1" customWidth="1"/>
    <col min="22" max="22" width="15" style="20" bestFit="1" customWidth="1"/>
    <col min="23" max="23" width="10.77734375" style="20" bestFit="1" customWidth="1"/>
    <col min="24" max="28" width="11.21875" style="20" bestFit="1" customWidth="1"/>
    <col min="29" max="29" width="3.77734375" style="11" customWidth="1"/>
  </cols>
  <sheetData>
    <row r="1" spans="1:29" x14ac:dyDescent="0.3">
      <c r="B1" s="27" t="s">
        <v>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Q1" s="27" t="s">
        <v>4</v>
      </c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9" x14ac:dyDescent="0.3">
      <c r="A2" s="9" t="s">
        <v>5</v>
      </c>
      <c r="B2" s="7" t="s">
        <v>2</v>
      </c>
      <c r="C2" s="7" t="s">
        <v>0</v>
      </c>
      <c r="D2" s="7" t="s">
        <v>1</v>
      </c>
      <c r="E2" s="7" t="s">
        <v>6</v>
      </c>
      <c r="F2" s="7" t="s">
        <v>55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9" t="s">
        <v>5</v>
      </c>
      <c r="Q2" s="7" t="s">
        <v>2</v>
      </c>
      <c r="R2" s="7" t="s">
        <v>0</v>
      </c>
      <c r="S2" s="7" t="s">
        <v>1</v>
      </c>
      <c r="T2" s="7" t="s">
        <v>6</v>
      </c>
      <c r="U2" s="16" t="s">
        <v>7</v>
      </c>
      <c r="V2" s="7" t="s">
        <v>8</v>
      </c>
      <c r="W2" s="7" t="s">
        <v>17</v>
      </c>
      <c r="X2" s="7" t="s">
        <v>18</v>
      </c>
      <c r="Y2" s="7" t="s">
        <v>19</v>
      </c>
      <c r="Z2" s="7" t="s">
        <v>20</v>
      </c>
      <c r="AA2" s="7" t="s">
        <v>21</v>
      </c>
      <c r="AB2" s="7" t="s">
        <v>22</v>
      </c>
      <c r="AC2" s="9" t="s">
        <v>5</v>
      </c>
    </row>
    <row r="3" spans="1:29" x14ac:dyDescent="0.3">
      <c r="B3" s="6" t="s">
        <v>31</v>
      </c>
      <c r="C3" s="1"/>
      <c r="D3" s="4"/>
      <c r="E3" s="12"/>
      <c r="F3" s="12"/>
      <c r="G3" s="12"/>
      <c r="H3" s="4"/>
      <c r="I3" s="4"/>
      <c r="J3" s="4"/>
      <c r="K3" s="4"/>
      <c r="L3" s="4"/>
      <c r="M3" s="4"/>
      <c r="N3" s="4"/>
      <c r="O3" s="4"/>
      <c r="Q3" s="6" t="s">
        <v>31</v>
      </c>
      <c r="R3" s="2"/>
      <c r="S3" s="5"/>
      <c r="T3" s="14"/>
      <c r="U3" s="14"/>
      <c r="V3" s="5"/>
      <c r="W3" s="5"/>
      <c r="X3" s="5"/>
      <c r="Y3" s="5"/>
      <c r="Z3" s="5"/>
      <c r="AA3" s="5"/>
      <c r="AB3" s="5"/>
      <c r="AC3" s="8"/>
    </row>
    <row r="4" spans="1:29" x14ac:dyDescent="0.3">
      <c r="B4" s="3"/>
      <c r="C4" s="25" t="s">
        <v>41</v>
      </c>
      <c r="D4" s="10">
        <v>23</v>
      </c>
      <c r="E4" s="13" t="s">
        <v>42</v>
      </c>
      <c r="F4" s="15" t="s">
        <v>47</v>
      </c>
      <c r="G4" s="19">
        <f>SUM(Tableau1[[#This Row],[E1]:[E8]])</f>
        <v>8</v>
      </c>
      <c r="H4" s="19">
        <v>1</v>
      </c>
      <c r="I4" s="19">
        <v>1</v>
      </c>
      <c r="J4" s="19">
        <v>1</v>
      </c>
      <c r="K4" s="19">
        <v>1</v>
      </c>
      <c r="L4" s="19">
        <v>1</v>
      </c>
      <c r="M4" s="19">
        <v>1</v>
      </c>
      <c r="N4" s="19">
        <v>1</v>
      </c>
      <c r="O4" s="19">
        <v>1</v>
      </c>
      <c r="Q4" s="3"/>
      <c r="R4" s="25" t="s">
        <v>35</v>
      </c>
      <c r="S4" s="10">
        <v>9</v>
      </c>
      <c r="T4" s="13" t="s">
        <v>32</v>
      </c>
      <c r="U4" s="15" t="s">
        <v>37</v>
      </c>
      <c r="V4" s="19">
        <f>SUM(Tableau2[[#This Row],[M1]:[M6]])</f>
        <v>3</v>
      </c>
      <c r="W4" s="19">
        <v>1</v>
      </c>
      <c r="X4" s="19">
        <v>1</v>
      </c>
      <c r="Y4" s="19">
        <v>1</v>
      </c>
      <c r="Z4" s="19"/>
      <c r="AA4" s="19"/>
      <c r="AB4" s="19"/>
      <c r="AC4" s="8"/>
    </row>
    <row r="5" spans="1:29" ht="14.4" customHeight="1" x14ac:dyDescent="0.3">
      <c r="B5" s="3"/>
      <c r="C5" s="25" t="s">
        <v>41</v>
      </c>
      <c r="D5" s="10">
        <v>24</v>
      </c>
      <c r="E5" s="13" t="s">
        <v>43</v>
      </c>
      <c r="F5" s="15" t="s">
        <v>46</v>
      </c>
      <c r="G5" s="19">
        <f>SUM(Tableau1[[#This Row],[E1]:[E8]])</f>
        <v>8</v>
      </c>
      <c r="H5" s="19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19">
        <v>1</v>
      </c>
      <c r="Q5" s="3"/>
      <c r="R5" s="25" t="s">
        <v>35</v>
      </c>
      <c r="S5" s="10">
        <v>9</v>
      </c>
      <c r="T5" s="13" t="s">
        <v>50</v>
      </c>
      <c r="U5" s="24" t="s">
        <v>33</v>
      </c>
      <c r="V5" s="19">
        <f>SUM(Tableau2[[#This Row],[M1]:[M6]])</f>
        <v>3</v>
      </c>
      <c r="W5" s="19">
        <v>1</v>
      </c>
      <c r="X5" s="19">
        <v>1</v>
      </c>
      <c r="Y5" s="19">
        <v>1</v>
      </c>
      <c r="Z5" s="19"/>
      <c r="AA5" s="19"/>
      <c r="AB5" s="19"/>
      <c r="AC5" s="8"/>
    </row>
    <row r="6" spans="1:29" x14ac:dyDescent="0.3">
      <c r="B6" s="3"/>
      <c r="C6" s="25" t="s">
        <v>41</v>
      </c>
      <c r="D6" s="10">
        <v>25</v>
      </c>
      <c r="E6" s="13" t="s">
        <v>43</v>
      </c>
      <c r="F6" s="15" t="s">
        <v>47</v>
      </c>
      <c r="G6" s="19">
        <f>SUM(Tableau1[[#This Row],[E1]:[E8]])</f>
        <v>8</v>
      </c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19">
        <v>1</v>
      </c>
      <c r="O6" s="19">
        <v>1</v>
      </c>
      <c r="Q6" s="3"/>
      <c r="R6" s="25" t="s">
        <v>34</v>
      </c>
      <c r="S6" s="10">
        <v>17</v>
      </c>
      <c r="T6" s="13" t="s">
        <v>51</v>
      </c>
      <c r="U6" s="13" t="s">
        <v>36</v>
      </c>
      <c r="V6" s="19">
        <f>SUM(Tableau2[[#This Row],[M1]:[M6]])</f>
        <v>2</v>
      </c>
      <c r="W6" s="19">
        <v>1</v>
      </c>
      <c r="X6" s="19"/>
      <c r="Y6" s="19">
        <v>1</v>
      </c>
      <c r="Z6" s="19"/>
      <c r="AA6" s="19"/>
      <c r="AB6" s="19"/>
      <c r="AC6" s="8"/>
    </row>
    <row r="7" spans="1:29" x14ac:dyDescent="0.3">
      <c r="B7" s="3"/>
      <c r="C7" s="25" t="s">
        <v>41</v>
      </c>
      <c r="D7" s="10">
        <v>26</v>
      </c>
      <c r="E7" s="13" t="s">
        <v>44</v>
      </c>
      <c r="F7" s="15" t="s">
        <v>48</v>
      </c>
      <c r="G7" s="19">
        <f>SUM(Tableau1[[#This Row],[E1]:[E8]])</f>
        <v>8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19">
        <v>1</v>
      </c>
      <c r="N7" s="19">
        <v>1</v>
      </c>
      <c r="O7" s="19">
        <v>1</v>
      </c>
      <c r="Q7" s="3"/>
      <c r="R7" s="25" t="s">
        <v>34</v>
      </c>
      <c r="S7" s="10">
        <v>17</v>
      </c>
      <c r="T7" s="13" t="s">
        <v>32</v>
      </c>
      <c r="U7" s="15" t="s">
        <v>37</v>
      </c>
      <c r="V7" s="19">
        <f>SUM(Tableau2[[#This Row],[M1]:[M6]])</f>
        <v>3</v>
      </c>
      <c r="W7" s="19">
        <v>1</v>
      </c>
      <c r="X7" s="19">
        <v>1</v>
      </c>
      <c r="Y7" s="19">
        <v>1</v>
      </c>
      <c r="Z7" s="19"/>
      <c r="AA7" s="19"/>
      <c r="AB7" s="19"/>
      <c r="AC7" s="8"/>
    </row>
    <row r="8" spans="1:29" x14ac:dyDescent="0.3">
      <c r="B8" s="3"/>
      <c r="C8" s="25" t="s">
        <v>41</v>
      </c>
      <c r="D8" s="10">
        <v>27</v>
      </c>
      <c r="E8" s="13" t="s">
        <v>44</v>
      </c>
      <c r="F8" s="13" t="s">
        <v>47</v>
      </c>
      <c r="G8" s="19">
        <f>SUM(Tableau1[[#This Row],[E1]:[E8]])</f>
        <v>8</v>
      </c>
      <c r="H8" s="19">
        <v>1</v>
      </c>
      <c r="I8" s="19">
        <v>1</v>
      </c>
      <c r="J8" s="19">
        <v>1</v>
      </c>
      <c r="K8" s="19">
        <v>1</v>
      </c>
      <c r="L8" s="19">
        <v>1</v>
      </c>
      <c r="M8" s="19">
        <v>1</v>
      </c>
      <c r="N8" s="19">
        <v>1</v>
      </c>
      <c r="O8" s="19">
        <v>1</v>
      </c>
      <c r="Q8" s="3"/>
      <c r="R8" s="25" t="s">
        <v>34</v>
      </c>
      <c r="S8" s="10">
        <v>25</v>
      </c>
      <c r="T8" s="13" t="s">
        <v>51</v>
      </c>
      <c r="U8" s="13" t="s">
        <v>36</v>
      </c>
      <c r="V8" s="19">
        <f>SUM(Tableau2[[#This Row],[M1]:[M6]])</f>
        <v>2</v>
      </c>
      <c r="W8" s="19">
        <v>1</v>
      </c>
      <c r="X8" s="19"/>
      <c r="Y8" s="19">
        <v>1</v>
      </c>
      <c r="Z8" s="19"/>
      <c r="AA8" s="19"/>
      <c r="AB8" s="19"/>
      <c r="AC8" s="8"/>
    </row>
    <row r="9" spans="1:29" x14ac:dyDescent="0.3">
      <c r="B9" s="3"/>
      <c r="C9" s="25" t="s">
        <v>41</v>
      </c>
      <c r="D9" s="10">
        <v>28</v>
      </c>
      <c r="E9" s="13" t="s">
        <v>45</v>
      </c>
      <c r="F9" s="13" t="s">
        <v>47</v>
      </c>
      <c r="G9" s="19">
        <f>SUM(Tableau1[[#This Row],[E1]:[E8]])</f>
        <v>8</v>
      </c>
      <c r="H9" s="19">
        <v>1</v>
      </c>
      <c r="I9" s="19">
        <v>1</v>
      </c>
      <c r="J9" s="19">
        <v>1</v>
      </c>
      <c r="K9" s="19">
        <v>1</v>
      </c>
      <c r="L9" s="19">
        <v>1</v>
      </c>
      <c r="M9" s="19">
        <v>1</v>
      </c>
      <c r="N9" s="19">
        <v>1</v>
      </c>
      <c r="O9" s="19">
        <v>1</v>
      </c>
      <c r="Q9" s="3"/>
      <c r="R9" s="25" t="s">
        <v>34</v>
      </c>
      <c r="S9" s="10">
        <v>25</v>
      </c>
      <c r="T9" s="13" t="s">
        <v>32</v>
      </c>
      <c r="U9" s="15" t="s">
        <v>37</v>
      </c>
      <c r="V9" s="19">
        <f>SUM(Tableau2[[#This Row],[M1]:[M6]])</f>
        <v>3</v>
      </c>
      <c r="W9" s="19">
        <v>1</v>
      </c>
      <c r="X9" s="19">
        <v>1</v>
      </c>
      <c r="Y9" s="19">
        <v>1</v>
      </c>
      <c r="Z9" s="19"/>
      <c r="AA9" s="19"/>
      <c r="AB9" s="19"/>
      <c r="AC9" s="8"/>
    </row>
    <row r="10" spans="1:29" x14ac:dyDescent="0.3">
      <c r="A10" s="11"/>
      <c r="B10" s="2"/>
      <c r="C10" s="2"/>
      <c r="D10" s="5"/>
      <c r="E10" s="14"/>
      <c r="F10" s="14"/>
      <c r="G10" s="26"/>
      <c r="H10" s="26"/>
      <c r="I10" s="26"/>
      <c r="J10" s="26"/>
      <c r="K10" s="26"/>
      <c r="L10" s="26"/>
      <c r="M10" s="26"/>
      <c r="N10" s="26"/>
      <c r="O10" s="26"/>
      <c r="Q10" s="3"/>
      <c r="R10" s="25" t="s">
        <v>34</v>
      </c>
      <c r="S10" s="10">
        <v>39</v>
      </c>
      <c r="T10" s="13" t="s">
        <v>51</v>
      </c>
      <c r="U10" s="13" t="s">
        <v>36</v>
      </c>
      <c r="V10" s="19">
        <f>SUM(Tableau2[[#This Row],[M1]:[M6]])</f>
        <v>2</v>
      </c>
      <c r="W10" s="19">
        <v>1</v>
      </c>
      <c r="X10" s="19"/>
      <c r="Y10" s="19">
        <v>1</v>
      </c>
      <c r="Z10" s="19"/>
      <c r="AA10" s="19"/>
      <c r="AB10" s="19"/>
      <c r="AC10" s="8"/>
    </row>
    <row r="11" spans="1:29" x14ac:dyDescent="0.3">
      <c r="A11"/>
      <c r="D11" s="10"/>
      <c r="E11" s="13"/>
      <c r="F11" s="13"/>
      <c r="G11" s="19"/>
      <c r="H11" s="19"/>
      <c r="I11" s="19"/>
      <c r="J11" s="19"/>
      <c r="K11" s="19"/>
      <c r="L11" s="19"/>
      <c r="M11" s="19"/>
      <c r="N11" s="19"/>
      <c r="O11" s="19"/>
      <c r="Q11" s="3"/>
      <c r="R11" s="25" t="s">
        <v>34</v>
      </c>
      <c r="S11" s="10">
        <v>39</v>
      </c>
      <c r="T11" s="13" t="s">
        <v>32</v>
      </c>
      <c r="U11" s="15" t="s">
        <v>37</v>
      </c>
      <c r="V11" s="19">
        <f>SUM(Tableau2[[#This Row],[M1]:[M6]])</f>
        <v>3</v>
      </c>
      <c r="W11" s="19">
        <v>1</v>
      </c>
      <c r="X11" s="19">
        <v>1</v>
      </c>
      <c r="Y11" s="19">
        <v>1</v>
      </c>
      <c r="Z11" s="19"/>
      <c r="AA11" s="19"/>
      <c r="AB11" s="19"/>
      <c r="AC11" s="8"/>
    </row>
    <row r="12" spans="1:29" x14ac:dyDescent="0.3">
      <c r="A12"/>
      <c r="D12" s="10"/>
      <c r="E12" s="13"/>
      <c r="F12" s="13"/>
      <c r="G12" s="19"/>
      <c r="H12" s="19"/>
      <c r="I12" s="19"/>
      <c r="J12" s="19"/>
      <c r="K12" s="19"/>
      <c r="L12" s="19"/>
      <c r="M12" s="19"/>
      <c r="N12" s="19"/>
      <c r="O12" s="19"/>
      <c r="Q12" s="3"/>
      <c r="R12" s="25" t="s">
        <v>34</v>
      </c>
      <c r="S12" s="10">
        <v>50</v>
      </c>
      <c r="T12" s="13" t="s">
        <v>51</v>
      </c>
      <c r="U12" s="13" t="s">
        <v>36</v>
      </c>
      <c r="V12" s="19">
        <f>SUM(Tableau2[[#This Row],[M1]:[M6]])</f>
        <v>2</v>
      </c>
      <c r="W12" s="19">
        <v>1</v>
      </c>
      <c r="X12" s="19"/>
      <c r="Y12" s="19">
        <v>1</v>
      </c>
      <c r="Z12" s="19"/>
      <c r="AA12" s="19"/>
      <c r="AB12" s="19"/>
      <c r="AC12" s="8"/>
    </row>
    <row r="13" spans="1:29" x14ac:dyDescent="0.3">
      <c r="A13"/>
      <c r="D13" s="10"/>
      <c r="E13" s="13"/>
      <c r="F13" s="13"/>
      <c r="G13" s="19"/>
      <c r="H13" s="19"/>
      <c r="I13" s="19"/>
      <c r="J13" s="19"/>
      <c r="K13" s="19"/>
      <c r="L13" s="19"/>
      <c r="M13" s="19"/>
      <c r="N13" s="19"/>
      <c r="O13" s="19"/>
      <c r="Q13" s="3"/>
      <c r="R13" s="25" t="s">
        <v>34</v>
      </c>
      <c r="S13" s="10">
        <v>50</v>
      </c>
      <c r="T13" s="13" t="s">
        <v>32</v>
      </c>
      <c r="U13" s="15" t="s">
        <v>37</v>
      </c>
      <c r="V13" s="19">
        <f>SUM(Tableau2[[#This Row],[M1]:[M6]])</f>
        <v>3</v>
      </c>
      <c r="W13" s="19">
        <v>1</v>
      </c>
      <c r="X13" s="19">
        <v>1</v>
      </c>
      <c r="Y13" s="19">
        <v>1</v>
      </c>
      <c r="Z13" s="19"/>
      <c r="AA13" s="19"/>
      <c r="AB13" s="19"/>
      <c r="AC13" s="8"/>
    </row>
    <row r="14" spans="1:29" x14ac:dyDescent="0.3">
      <c r="A14"/>
      <c r="D14" s="10"/>
      <c r="E14" s="13"/>
      <c r="F14" s="13"/>
      <c r="G14" s="19"/>
      <c r="H14" s="19"/>
      <c r="I14" s="19"/>
      <c r="J14" s="19"/>
      <c r="K14" s="19"/>
      <c r="L14" s="19"/>
      <c r="M14" s="19"/>
      <c r="N14" s="19"/>
      <c r="O14" s="19"/>
      <c r="Q14" s="3"/>
      <c r="R14" s="25" t="s">
        <v>34</v>
      </c>
      <c r="S14" s="10">
        <v>58</v>
      </c>
      <c r="T14" s="13" t="s">
        <v>52</v>
      </c>
      <c r="U14" s="13" t="s">
        <v>38</v>
      </c>
      <c r="V14" s="19">
        <f>SUM(Tableau2[[#This Row],[M1]:[M6]])</f>
        <v>3</v>
      </c>
      <c r="W14" s="19">
        <v>1</v>
      </c>
      <c r="X14" s="19">
        <v>1</v>
      </c>
      <c r="Y14" s="19">
        <v>1</v>
      </c>
      <c r="Z14" s="19"/>
      <c r="AA14" s="19"/>
      <c r="AB14" s="19"/>
      <c r="AC14" s="8"/>
    </row>
    <row r="15" spans="1:29" x14ac:dyDescent="0.3">
      <c r="A15"/>
      <c r="D15" s="10"/>
      <c r="E15" s="13"/>
      <c r="F15" s="13"/>
      <c r="G15" s="19"/>
      <c r="H15" s="19"/>
      <c r="I15" s="19"/>
      <c r="J15" s="19"/>
      <c r="K15" s="19"/>
      <c r="L15" s="19"/>
      <c r="M15" s="19"/>
      <c r="N15" s="19"/>
      <c r="O15" s="19"/>
      <c r="Q15" s="3"/>
      <c r="R15" s="25" t="s">
        <v>34</v>
      </c>
      <c r="S15" s="10">
        <v>58</v>
      </c>
      <c r="T15" s="13" t="s">
        <v>32</v>
      </c>
      <c r="U15" s="15" t="s">
        <v>37</v>
      </c>
      <c r="V15" s="19">
        <f>SUM(Tableau2[[#This Row],[M1]:[M6]])</f>
        <v>3</v>
      </c>
      <c r="W15" s="19">
        <v>1</v>
      </c>
      <c r="X15" s="19">
        <v>1</v>
      </c>
      <c r="Y15" s="19">
        <v>1</v>
      </c>
      <c r="Z15" s="19"/>
      <c r="AA15" s="19"/>
      <c r="AB15" s="19"/>
      <c r="AC15" s="8"/>
    </row>
    <row r="16" spans="1:29" x14ac:dyDescent="0.3">
      <c r="A16"/>
      <c r="D16" s="10"/>
      <c r="E16" s="13"/>
      <c r="F16" s="13"/>
      <c r="G16" s="19"/>
      <c r="H16" s="19"/>
      <c r="I16" s="19"/>
      <c r="J16" s="19"/>
      <c r="K16" s="19"/>
      <c r="L16" s="19"/>
      <c r="M16" s="19"/>
      <c r="N16" s="19"/>
      <c r="O16" s="19"/>
      <c r="Q16" s="3"/>
      <c r="R16" s="25" t="s">
        <v>34</v>
      </c>
      <c r="S16" s="10">
        <v>67</v>
      </c>
      <c r="T16" s="13" t="s">
        <v>53</v>
      </c>
      <c r="U16" s="13" t="s">
        <v>39</v>
      </c>
      <c r="V16" s="19">
        <f>SUM(Tableau2[[#This Row],[M1]:[M6]])</f>
        <v>3</v>
      </c>
      <c r="W16" s="19">
        <v>1</v>
      </c>
      <c r="X16" s="19">
        <v>1</v>
      </c>
      <c r="Y16" s="19">
        <v>1</v>
      </c>
      <c r="Z16" s="19"/>
      <c r="AA16" s="19"/>
      <c r="AB16" s="19"/>
      <c r="AC16" s="8"/>
    </row>
    <row r="17" spans="1:29" x14ac:dyDescent="0.3">
      <c r="A17"/>
      <c r="D17" s="10"/>
      <c r="E17" s="13"/>
      <c r="F17" s="13"/>
      <c r="G17" s="19"/>
      <c r="H17" s="19"/>
      <c r="I17" s="19"/>
      <c r="J17" s="19"/>
      <c r="K17" s="19"/>
      <c r="L17" s="19"/>
      <c r="M17" s="19"/>
      <c r="N17" s="19"/>
      <c r="O17" s="19"/>
      <c r="Q17" s="3"/>
      <c r="R17" s="25" t="s">
        <v>34</v>
      </c>
      <c r="S17" s="10">
        <v>67</v>
      </c>
      <c r="T17" s="13" t="s">
        <v>32</v>
      </c>
      <c r="U17" s="15" t="s">
        <v>37</v>
      </c>
      <c r="V17" s="19">
        <f>SUM(Tableau2[[#This Row],[M1]:[M6]])</f>
        <v>3</v>
      </c>
      <c r="W17" s="19">
        <v>1</v>
      </c>
      <c r="X17" s="19">
        <v>1</v>
      </c>
      <c r="Y17" s="19">
        <v>1</v>
      </c>
      <c r="Z17" s="19"/>
      <c r="AA17" s="19"/>
      <c r="AB17" s="19"/>
      <c r="AC17" s="8"/>
    </row>
    <row r="18" spans="1:29" x14ac:dyDescent="0.3">
      <c r="A18"/>
      <c r="D18" s="10"/>
      <c r="E18" s="13"/>
      <c r="F18" s="13"/>
      <c r="G18" s="19"/>
      <c r="H18" s="19"/>
      <c r="I18" s="19"/>
      <c r="J18" s="19"/>
      <c r="K18" s="19"/>
      <c r="L18" s="19"/>
      <c r="M18" s="19"/>
      <c r="N18" s="19"/>
      <c r="O18" s="19"/>
      <c r="Q18" s="3"/>
      <c r="R18" s="25" t="s">
        <v>34</v>
      </c>
      <c r="S18" s="10">
        <v>74</v>
      </c>
      <c r="T18" s="13" t="s">
        <v>54</v>
      </c>
      <c r="U18" s="13" t="s">
        <v>39</v>
      </c>
      <c r="V18" s="19">
        <f>SUM(Tableau2[[#This Row],[M1]:[M6]])</f>
        <v>3</v>
      </c>
      <c r="W18" s="19">
        <v>1</v>
      </c>
      <c r="X18" s="19">
        <v>1</v>
      </c>
      <c r="Y18" s="19">
        <v>1</v>
      </c>
      <c r="Z18" s="19"/>
      <c r="AA18" s="19"/>
      <c r="AB18" s="19"/>
      <c r="AC18" s="8"/>
    </row>
    <row r="19" spans="1:29" x14ac:dyDescent="0.3">
      <c r="A19"/>
      <c r="Q19" s="3"/>
      <c r="R19" s="25" t="s">
        <v>34</v>
      </c>
      <c r="S19" s="10">
        <v>74</v>
      </c>
      <c r="T19" s="13" t="s">
        <v>32</v>
      </c>
      <c r="U19" s="15" t="s">
        <v>37</v>
      </c>
      <c r="V19" s="19">
        <f>SUM(Tableau2[[#This Row],[M1]:[M6]])</f>
        <v>3</v>
      </c>
      <c r="W19" s="19">
        <v>1</v>
      </c>
      <c r="X19" s="19">
        <v>1</v>
      </c>
      <c r="Y19" s="19">
        <v>1</v>
      </c>
      <c r="Z19"/>
      <c r="AA19"/>
      <c r="AB19"/>
    </row>
    <row r="20" spans="1:29" x14ac:dyDescent="0.3">
      <c r="A20"/>
      <c r="Q20" s="3"/>
      <c r="R20" s="25" t="s">
        <v>34</v>
      </c>
      <c r="S20" s="10">
        <v>79</v>
      </c>
      <c r="T20" s="13" t="s">
        <v>54</v>
      </c>
      <c r="U20" s="13" t="s">
        <v>40</v>
      </c>
      <c r="V20" s="19">
        <f>SUM(Tableau2[[#This Row],[M1]:[M6]])</f>
        <v>3</v>
      </c>
      <c r="W20" s="19">
        <v>1</v>
      </c>
      <c r="X20" s="19">
        <v>1</v>
      </c>
      <c r="Y20" s="19">
        <v>1</v>
      </c>
      <c r="Z20"/>
      <c r="AA20"/>
      <c r="AB20"/>
    </row>
    <row r="21" spans="1:29" x14ac:dyDescent="0.3">
      <c r="A21"/>
      <c r="Q21" s="3"/>
      <c r="R21" s="25" t="s">
        <v>34</v>
      </c>
      <c r="S21" s="10">
        <v>79</v>
      </c>
      <c r="T21" s="13" t="s">
        <v>32</v>
      </c>
      <c r="U21" s="15" t="s">
        <v>37</v>
      </c>
      <c r="V21" s="19">
        <f>SUM(Tableau2[[#This Row],[M1]:[M6]])</f>
        <v>3</v>
      </c>
      <c r="W21" s="19">
        <v>1</v>
      </c>
      <c r="X21" s="19">
        <v>1</v>
      </c>
      <c r="Y21" s="19">
        <v>1</v>
      </c>
      <c r="Z21"/>
      <c r="AA21"/>
      <c r="AB21"/>
    </row>
    <row r="22" spans="1:29" x14ac:dyDescent="0.3">
      <c r="A22"/>
      <c r="P22" s="11"/>
      <c r="Q22" s="2"/>
      <c r="R22" s="2"/>
      <c r="S22" s="2"/>
      <c r="T22" s="2"/>
      <c r="U22" s="2"/>
      <c r="V22" s="26"/>
      <c r="W22" s="2"/>
      <c r="X22" s="2"/>
      <c r="Y22" s="2"/>
      <c r="Z22" s="2"/>
      <c r="AA22" s="2"/>
      <c r="AB22" s="2"/>
    </row>
    <row r="23" spans="1:29" x14ac:dyDescent="0.3">
      <c r="A23"/>
      <c r="P23"/>
      <c r="U23"/>
      <c r="V23" s="19"/>
      <c r="W23"/>
      <c r="X23"/>
      <c r="Y23"/>
      <c r="Z23"/>
      <c r="AA23"/>
      <c r="AB23"/>
      <c r="AC23"/>
    </row>
    <row r="24" spans="1:29" x14ac:dyDescent="0.3">
      <c r="A24"/>
      <c r="P24"/>
      <c r="U24"/>
      <c r="V24" s="19"/>
      <c r="W24"/>
      <c r="X24"/>
      <c r="Y24"/>
      <c r="Z24"/>
      <c r="AA24"/>
      <c r="AB24"/>
      <c r="AC24"/>
    </row>
    <row r="25" spans="1:29" x14ac:dyDescent="0.3">
      <c r="A25"/>
      <c r="P25"/>
      <c r="U25"/>
      <c r="V25" s="19"/>
      <c r="W25"/>
      <c r="X25"/>
      <c r="Y25"/>
      <c r="Z25"/>
      <c r="AA25"/>
      <c r="AB25"/>
      <c r="AC25"/>
    </row>
    <row r="26" spans="1:29" x14ac:dyDescent="0.3">
      <c r="A26"/>
      <c r="P26"/>
      <c r="U26"/>
      <c r="V26" s="19"/>
      <c r="W26"/>
      <c r="X26"/>
      <c r="Y26"/>
      <c r="Z26"/>
      <c r="AA26"/>
      <c r="AB26"/>
      <c r="AC26"/>
    </row>
    <row r="27" spans="1:29" x14ac:dyDescent="0.3">
      <c r="A27"/>
      <c r="P27"/>
      <c r="U27"/>
      <c r="V27" s="19"/>
      <c r="W27"/>
      <c r="X27"/>
      <c r="Y27"/>
      <c r="Z27"/>
      <c r="AA27"/>
      <c r="AB27"/>
      <c r="AC27"/>
    </row>
    <row r="28" spans="1:29" x14ac:dyDescent="0.3">
      <c r="A28"/>
      <c r="P28"/>
      <c r="U28"/>
      <c r="V28" s="19"/>
      <c r="W28"/>
      <c r="X28"/>
      <c r="Y28"/>
      <c r="Z28"/>
      <c r="AA28"/>
      <c r="AB28"/>
      <c r="AC28"/>
    </row>
    <row r="29" spans="1:29" x14ac:dyDescent="0.3">
      <c r="A29"/>
      <c r="P29"/>
      <c r="U29"/>
      <c r="V29" s="19"/>
      <c r="W29"/>
      <c r="X29"/>
      <c r="Y29"/>
      <c r="Z29"/>
      <c r="AA29"/>
      <c r="AB29"/>
      <c r="AC29"/>
    </row>
    <row r="30" spans="1:29" x14ac:dyDescent="0.3">
      <c r="A30"/>
      <c r="P30"/>
      <c r="U30"/>
      <c r="V30" s="19"/>
      <c r="W30"/>
      <c r="X30"/>
      <c r="Y30"/>
      <c r="Z30"/>
      <c r="AA30"/>
      <c r="AB30"/>
      <c r="AC30"/>
    </row>
    <row r="31" spans="1:29" x14ac:dyDescent="0.3">
      <c r="A31"/>
      <c r="P31"/>
      <c r="U31"/>
      <c r="V31" s="19"/>
      <c r="W31"/>
      <c r="X31"/>
      <c r="Y31"/>
      <c r="Z31"/>
      <c r="AA31"/>
      <c r="AB31"/>
      <c r="AC31"/>
    </row>
    <row r="32" spans="1:29" x14ac:dyDescent="0.3">
      <c r="A32"/>
      <c r="P32"/>
      <c r="U32"/>
      <c r="V32"/>
      <c r="W32"/>
      <c r="X32"/>
      <c r="Y32"/>
      <c r="Z32"/>
      <c r="AA32"/>
      <c r="AB32"/>
      <c r="AC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</sheetData>
  <mergeCells count="2">
    <mergeCell ref="B1:O1"/>
    <mergeCell ref="Q1:AB1"/>
  </mergeCells>
  <phoneticPr fontId="2" type="noConversion"/>
  <hyperlinks>
    <hyperlink ref="R6" r:id="rId1" xr:uid="{73A8E4BA-2C6E-418D-8984-D2418BB9BD61}"/>
    <hyperlink ref="R5" r:id="rId2" xr:uid="{8D725443-E50E-4D2B-B2E0-4B09B9D408B3}"/>
    <hyperlink ref="R4" r:id="rId3" xr:uid="{FEC58806-B778-4D2E-9115-98E31014990F}"/>
    <hyperlink ref="R7" r:id="rId4" xr:uid="{D71EBEDF-442D-49FB-A552-4DCB429633D3}"/>
    <hyperlink ref="R8" r:id="rId5" xr:uid="{47F3CAD6-D003-4242-B977-5A3189288243}"/>
    <hyperlink ref="R9" r:id="rId6" xr:uid="{15A1D9E9-6892-428C-943E-258CF7D83B94}"/>
    <hyperlink ref="R10" r:id="rId7" xr:uid="{A06C22B0-8E1A-438D-8AAE-CAE3943B1983}"/>
    <hyperlink ref="R11" r:id="rId8" xr:uid="{CFF67897-7401-4BE1-AFA9-886EF855138E}"/>
    <hyperlink ref="R12" r:id="rId9" xr:uid="{2EE23969-8314-4063-8B43-459D8770C4FB}"/>
    <hyperlink ref="R13" r:id="rId10" xr:uid="{4F707E6A-0BCC-4101-92A7-A9DF3DF0B3B9}"/>
    <hyperlink ref="R14" r:id="rId11" xr:uid="{3539F06C-B504-4015-8625-7A6785A8B42E}"/>
    <hyperlink ref="R15" r:id="rId12" xr:uid="{CC927746-6B22-4312-8CB7-50196AB3CD28}"/>
    <hyperlink ref="R16" r:id="rId13" xr:uid="{5B2E94EA-18F8-4575-8557-EFEF49A0CF83}"/>
    <hyperlink ref="R17" r:id="rId14" xr:uid="{E629BE12-B929-4A50-8B38-A7712DC19B9D}"/>
    <hyperlink ref="R18" r:id="rId15" xr:uid="{EA7248D9-642F-42A0-9A9B-0EC0E3BEB7CE}"/>
    <hyperlink ref="R19" r:id="rId16" xr:uid="{CE2FD465-E548-4DF1-B0A5-786E1091A984}"/>
    <hyperlink ref="R20" r:id="rId17" xr:uid="{DF98A478-1B24-4807-A16E-EA5D24804633}"/>
    <hyperlink ref="R21" r:id="rId18" xr:uid="{9E70C9F0-2E4B-4EBA-B725-EE8A1257E5A4}"/>
    <hyperlink ref="C4" r:id="rId19" xr:uid="{BA0807FC-8BEF-40B3-A5DC-37AA0AB8B164}"/>
    <hyperlink ref="C5:C9" r:id="rId20" display="https://github.com/dev-mastery/comments-api/blob/master/src/index.js" xr:uid="{788431D9-DA8D-4A8B-983F-21D0A6497863}"/>
  </hyperlinks>
  <pageMargins left="0.7" right="0.7" top="0.75" bottom="0.75" header="0.3" footer="0.3"/>
  <tableParts count="2">
    <tablePart r:id="rId21"/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643-2705-4893-88EA-C07EDE73702D}">
  <dimension ref="A1:K57"/>
  <sheetViews>
    <sheetView zoomScaleNormal="100" workbookViewId="0">
      <selection sqref="A1:I1"/>
    </sheetView>
  </sheetViews>
  <sheetFormatPr baseColWidth="10" defaultRowHeight="14.4" x14ac:dyDescent="0.3"/>
  <cols>
    <col min="1" max="1" width="15.77734375" customWidth="1"/>
    <col min="2" max="2" width="17.109375" bestFit="1" customWidth="1"/>
    <col min="3" max="8" width="15.77734375" customWidth="1"/>
    <col min="9" max="9" width="17.88671875" bestFit="1" customWidth="1"/>
    <col min="10" max="10" width="15.77734375" customWidth="1"/>
    <col min="11" max="11" width="21.5546875" bestFit="1" customWidth="1"/>
  </cols>
  <sheetData>
    <row r="1" spans="1:9" x14ac:dyDescent="0.3">
      <c r="A1" s="28" t="s">
        <v>27</v>
      </c>
      <c r="B1" s="28"/>
      <c r="C1" s="28"/>
      <c r="D1" s="28"/>
      <c r="E1" s="28"/>
      <c r="F1" s="28"/>
      <c r="G1" s="28"/>
      <c r="H1" s="28"/>
      <c r="I1" s="28"/>
    </row>
    <row r="2" spans="1:9" x14ac:dyDescent="0.3">
      <c r="A2" t="s">
        <v>24</v>
      </c>
      <c r="B2" s="23" t="s">
        <v>9</v>
      </c>
      <c r="C2" s="23" t="s">
        <v>10</v>
      </c>
      <c r="D2" s="23" t="s">
        <v>11</v>
      </c>
      <c r="E2" s="23" t="s">
        <v>12</v>
      </c>
      <c r="F2" s="23" t="s">
        <v>13</v>
      </c>
      <c r="G2" s="23" t="s">
        <v>14</v>
      </c>
      <c r="H2" s="23" t="s">
        <v>15</v>
      </c>
      <c r="I2" s="23" t="s">
        <v>16</v>
      </c>
    </row>
    <row r="3" spans="1:9" x14ac:dyDescent="0.3">
      <c r="A3" t="s">
        <v>23</v>
      </c>
      <c r="B3" s="10">
        <f>COUNTIF(Tableau1[E1],"1")</f>
        <v>6</v>
      </c>
      <c r="C3" s="10">
        <f>COUNTIF(Tableau1[E2],"1")</f>
        <v>6</v>
      </c>
      <c r="D3" s="10">
        <f>COUNTIF(Tableau1[E3],"1")</f>
        <v>6</v>
      </c>
      <c r="E3" s="10">
        <f>COUNTIF(Tableau1[E4],"1")</f>
        <v>6</v>
      </c>
      <c r="F3" s="10">
        <f>COUNTIF(Tableau1[E5],"1")</f>
        <v>6</v>
      </c>
      <c r="G3" s="10">
        <f>COUNTIF(Tableau1[E6],"1")</f>
        <v>6</v>
      </c>
      <c r="H3" s="10">
        <f>COUNTIF(Tableau1[E7],"1")</f>
        <v>6</v>
      </c>
      <c r="I3" s="10">
        <f>COUNTIF(Tableau1[E8],"1")</f>
        <v>6</v>
      </c>
    </row>
    <row r="4" spans="1:9" x14ac:dyDescent="0.3">
      <c r="A4" t="s">
        <v>26</v>
      </c>
      <c r="B4" s="21">
        <f t="shared" ref="B4:I4" si="0">B3/6</f>
        <v>1</v>
      </c>
      <c r="C4" s="21">
        <f t="shared" si="0"/>
        <v>1</v>
      </c>
      <c r="D4" s="21">
        <f t="shared" si="0"/>
        <v>1</v>
      </c>
      <c r="E4" s="21">
        <f t="shared" si="0"/>
        <v>1</v>
      </c>
      <c r="F4" s="21">
        <f t="shared" si="0"/>
        <v>1</v>
      </c>
      <c r="G4" s="21">
        <f t="shared" si="0"/>
        <v>1</v>
      </c>
      <c r="H4" s="21">
        <f t="shared" si="0"/>
        <v>1</v>
      </c>
      <c r="I4" s="21">
        <f t="shared" si="0"/>
        <v>1</v>
      </c>
    </row>
    <row r="6" spans="1:9" x14ac:dyDescent="0.3">
      <c r="A6" s="28" t="s">
        <v>28</v>
      </c>
      <c r="B6" s="28"/>
      <c r="C6" s="28"/>
      <c r="D6" s="28"/>
      <c r="E6" s="28"/>
      <c r="F6" s="28"/>
      <c r="G6" s="28"/>
      <c r="H6" s="28"/>
      <c r="I6" s="28"/>
    </row>
    <row r="7" spans="1:9" x14ac:dyDescent="0.3">
      <c r="A7" t="s">
        <v>24</v>
      </c>
      <c r="B7" s="23" t="s">
        <v>17</v>
      </c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</row>
    <row r="8" spans="1:9" x14ac:dyDescent="0.3">
      <c r="A8" t="s">
        <v>23</v>
      </c>
      <c r="B8" s="10">
        <f>COUNTIF('comments-api data'!W4:W115,"1")</f>
        <v>18</v>
      </c>
      <c r="C8" s="10">
        <f>COUNTIF('comments-api data'!X4:X115,"1")</f>
        <v>14</v>
      </c>
      <c r="D8" s="10">
        <f>COUNTIF('comments-api data'!Y4:Y115,"1")</f>
        <v>18</v>
      </c>
      <c r="E8" s="10">
        <f>COUNTIF('comments-api data'!Z4:Z115,"1")</f>
        <v>0</v>
      </c>
      <c r="F8" s="10">
        <f>COUNTIF('comments-api data'!AA4:AA115,"1")</f>
        <v>0</v>
      </c>
      <c r="G8" s="10">
        <f>COUNTIF('comments-api data'!AB4:AB115,"1")</f>
        <v>0</v>
      </c>
    </row>
    <row r="9" spans="1:9" x14ac:dyDescent="0.3">
      <c r="A9" t="s">
        <v>26</v>
      </c>
      <c r="B9" s="22">
        <f t="shared" ref="B9:G9" si="1">B8/18</f>
        <v>1</v>
      </c>
      <c r="C9" s="22">
        <f t="shared" si="1"/>
        <v>0.77777777777777779</v>
      </c>
      <c r="D9" s="22">
        <f t="shared" si="1"/>
        <v>1</v>
      </c>
      <c r="E9" s="22">
        <f t="shared" si="1"/>
        <v>0</v>
      </c>
      <c r="F9" s="22">
        <f t="shared" si="1"/>
        <v>0</v>
      </c>
      <c r="G9" s="22">
        <f t="shared" si="1"/>
        <v>0</v>
      </c>
    </row>
    <row r="11" spans="1:9" s="2" customFormat="1" x14ac:dyDescent="0.3"/>
    <row r="13" spans="1:9" x14ac:dyDescent="0.3">
      <c r="A13" s="28" t="s">
        <v>29</v>
      </c>
      <c r="B13" s="28"/>
      <c r="C13" s="28"/>
      <c r="D13" s="28"/>
      <c r="E13" s="28"/>
      <c r="F13" s="28"/>
      <c r="G13" s="28"/>
      <c r="H13" s="28"/>
      <c r="I13" s="28"/>
    </row>
    <row r="14" spans="1:9" x14ac:dyDescent="0.3">
      <c r="A14" t="s">
        <v>25</v>
      </c>
      <c r="B14" s="23">
        <v>1</v>
      </c>
      <c r="C14" s="23">
        <v>2</v>
      </c>
      <c r="D14" s="23">
        <v>3</v>
      </c>
      <c r="E14" s="23">
        <v>4</v>
      </c>
      <c r="F14" s="23">
        <v>5</v>
      </c>
      <c r="G14" s="23">
        <v>6</v>
      </c>
      <c r="H14" s="23">
        <v>7</v>
      </c>
      <c r="I14" s="23">
        <v>8</v>
      </c>
    </row>
    <row r="15" spans="1:9" x14ac:dyDescent="0.3">
      <c r="A15" t="s">
        <v>49</v>
      </c>
      <c r="B15" s="10">
        <f>COUNTIF('comments-api data'!$G$3:$G$170,"&gt;="&amp;B14)</f>
        <v>6</v>
      </c>
      <c r="C15" s="10">
        <f>COUNTIF('comments-api data'!$G$3:$G$170,"&gt;="&amp;C14)</f>
        <v>6</v>
      </c>
      <c r="D15" s="10">
        <f>COUNTIF('comments-api data'!$G$3:$G$170,"&gt;="&amp;D14)</f>
        <v>6</v>
      </c>
      <c r="E15" s="10">
        <f>COUNTIF('comments-api data'!$G$3:$G$170,"&gt;="&amp;E14)</f>
        <v>6</v>
      </c>
      <c r="F15" s="10">
        <f>COUNTIF('comments-api data'!$G$3:$G$170,"&gt;="&amp;F14)</f>
        <v>6</v>
      </c>
      <c r="G15" s="10">
        <f>COUNTIF('comments-api data'!$G$3:$G$170,"&gt;="&amp;G14)</f>
        <v>6</v>
      </c>
      <c r="H15" s="10">
        <f>COUNTIF('comments-api data'!$G$3:$G$170,"&gt;="&amp;H14)</f>
        <v>6</v>
      </c>
      <c r="I15" s="10">
        <f>COUNTIF('comments-api data'!$G$3:$G$170,"&gt;="&amp;I14)</f>
        <v>6</v>
      </c>
    </row>
    <row r="16" spans="1:9" x14ac:dyDescent="0.3">
      <c r="A16" t="s">
        <v>26</v>
      </c>
      <c r="B16" s="21">
        <f t="shared" ref="B16:I16" si="2">B15/6</f>
        <v>1</v>
      </c>
      <c r="C16" s="21">
        <f t="shared" si="2"/>
        <v>1</v>
      </c>
      <c r="D16" s="21">
        <f t="shared" si="2"/>
        <v>1</v>
      </c>
      <c r="E16" s="21">
        <f t="shared" si="2"/>
        <v>1</v>
      </c>
      <c r="F16" s="21">
        <f t="shared" si="2"/>
        <v>1</v>
      </c>
      <c r="G16" s="21">
        <f t="shared" si="2"/>
        <v>1</v>
      </c>
      <c r="H16" s="21">
        <f t="shared" si="2"/>
        <v>1</v>
      </c>
      <c r="I16" s="21">
        <f t="shared" si="2"/>
        <v>1</v>
      </c>
    </row>
    <row r="18" spans="1:11" x14ac:dyDescent="0.3">
      <c r="A18" s="28" t="s">
        <v>30</v>
      </c>
      <c r="B18" s="28"/>
      <c r="C18" s="28"/>
      <c r="D18" s="28"/>
      <c r="E18" s="28"/>
      <c r="F18" s="28"/>
      <c r="G18" s="28"/>
      <c r="H18" s="2"/>
      <c r="I18" s="2"/>
    </row>
    <row r="19" spans="1:11" x14ac:dyDescent="0.3">
      <c r="A19" t="s">
        <v>25</v>
      </c>
      <c r="B19" s="23">
        <v>1</v>
      </c>
      <c r="C19" s="23">
        <v>2</v>
      </c>
      <c r="D19" s="23">
        <v>3</v>
      </c>
      <c r="E19" s="23">
        <v>4</v>
      </c>
      <c r="F19" s="23">
        <v>5</v>
      </c>
      <c r="G19" s="23">
        <v>6</v>
      </c>
    </row>
    <row r="20" spans="1:11" x14ac:dyDescent="0.3">
      <c r="A20" t="s">
        <v>49</v>
      </c>
      <c r="B20" s="10">
        <f>COUNTIF('comments-api data'!$V$3:$V$116,"&gt;="&amp;B19)</f>
        <v>18</v>
      </c>
      <c r="C20" s="10">
        <f>COUNTIF('comments-api data'!$V$3:$V$116,"&gt;="&amp;C19)</f>
        <v>18</v>
      </c>
      <c r="D20" s="10">
        <f>COUNTIF('comments-api data'!$V$3:$V$116,"&gt;="&amp;D19)</f>
        <v>14</v>
      </c>
      <c r="E20" s="10">
        <f>COUNTIF('comments-api data'!$V$3:$V$116,"&gt;="&amp;E19)</f>
        <v>0</v>
      </c>
      <c r="F20" s="10">
        <f>COUNTIF('comments-api data'!$V$3:$V$116,"&gt;="&amp;F19)</f>
        <v>0</v>
      </c>
      <c r="G20" s="10">
        <f>COUNTIF('comments-api data'!$V$3:$V$116,"&gt;="&amp;G19)</f>
        <v>0</v>
      </c>
    </row>
    <row r="21" spans="1:11" x14ac:dyDescent="0.3">
      <c r="A21" t="s">
        <v>26</v>
      </c>
      <c r="B21" s="22">
        <f t="shared" ref="B21:G21" si="3">B20/18</f>
        <v>1</v>
      </c>
      <c r="C21" s="22">
        <f t="shared" si="3"/>
        <v>1</v>
      </c>
      <c r="D21" s="22">
        <f t="shared" si="3"/>
        <v>0.77777777777777779</v>
      </c>
      <c r="E21" s="22">
        <f t="shared" si="3"/>
        <v>0</v>
      </c>
      <c r="F21" s="22">
        <f t="shared" si="3"/>
        <v>0</v>
      </c>
      <c r="G21" s="22">
        <f t="shared" si="3"/>
        <v>0</v>
      </c>
    </row>
    <row r="24" spans="1:11" x14ac:dyDescent="0.3">
      <c r="A24" s="10"/>
      <c r="B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3">
      <c r="A27" s="10"/>
      <c r="B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3">
      <c r="A28" s="10"/>
      <c r="B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3">
      <c r="A29" s="10"/>
      <c r="B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3">
      <c r="A30" s="10"/>
      <c r="B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3">
      <c r="A31" s="10"/>
      <c r="B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3">
      <c r="A32" s="10"/>
      <c r="B32" s="10"/>
      <c r="D32" s="10"/>
      <c r="E32" s="10"/>
      <c r="F32" s="10"/>
      <c r="G32" s="10"/>
      <c r="H32" s="10"/>
      <c r="I32" s="10"/>
      <c r="J32" s="10"/>
      <c r="K32" s="10"/>
    </row>
    <row r="33" spans="2:11" x14ac:dyDescent="0.3">
      <c r="B33" s="10"/>
      <c r="D33" s="10"/>
      <c r="E33" s="10"/>
      <c r="F33" s="10"/>
      <c r="G33" s="10"/>
      <c r="H33" s="10"/>
      <c r="I33" s="10"/>
      <c r="J33" s="10"/>
      <c r="K33" s="10"/>
    </row>
    <row r="34" spans="2:11" x14ac:dyDescent="0.3">
      <c r="B34" s="10"/>
      <c r="D34" s="10"/>
      <c r="E34" s="10"/>
      <c r="F34" s="10"/>
      <c r="G34" s="10"/>
      <c r="H34" s="10"/>
      <c r="I34" s="10"/>
      <c r="J34" s="10"/>
      <c r="K34" s="10"/>
    </row>
    <row r="35" spans="2:11" x14ac:dyDescent="0.3">
      <c r="B35" s="10"/>
      <c r="D35" s="10"/>
      <c r="E35" s="10"/>
      <c r="F35" s="10"/>
      <c r="G35" s="10"/>
      <c r="H35" s="10"/>
      <c r="I35" s="10"/>
      <c r="J35" s="10"/>
      <c r="K35" s="10"/>
    </row>
    <row r="36" spans="2:11" x14ac:dyDescent="0.3">
      <c r="B36" s="10"/>
      <c r="D36" s="10"/>
      <c r="E36" s="10"/>
      <c r="F36" s="10"/>
      <c r="G36" s="10"/>
      <c r="H36" s="10"/>
      <c r="I36" s="10"/>
      <c r="J36" s="10"/>
      <c r="K36" s="10"/>
    </row>
    <row r="37" spans="2:11" x14ac:dyDescent="0.3">
      <c r="B37" s="10"/>
      <c r="D37" s="10"/>
      <c r="E37" s="10"/>
      <c r="F37" s="10"/>
      <c r="G37" s="10"/>
      <c r="H37" s="10"/>
      <c r="I37" s="10"/>
      <c r="J37" s="10"/>
      <c r="K37" s="10"/>
    </row>
    <row r="38" spans="2:11" x14ac:dyDescent="0.3">
      <c r="B38" s="10"/>
      <c r="D38" s="10"/>
      <c r="E38" s="10"/>
      <c r="F38" s="10"/>
      <c r="G38" s="10"/>
      <c r="H38" s="10"/>
      <c r="I38" s="10"/>
      <c r="J38" s="10"/>
      <c r="K38" s="10"/>
    </row>
    <row r="39" spans="2:11" x14ac:dyDescent="0.3">
      <c r="B39" s="10"/>
      <c r="D39" s="10"/>
      <c r="H39" s="10"/>
      <c r="K39" s="10"/>
    </row>
    <row r="40" spans="2:11" x14ac:dyDescent="0.3">
      <c r="B40" s="10"/>
      <c r="D40" s="10"/>
      <c r="K40" s="10"/>
    </row>
    <row r="41" spans="2:11" x14ac:dyDescent="0.3">
      <c r="B41" s="10"/>
      <c r="D41" s="10"/>
      <c r="K41" s="10"/>
    </row>
    <row r="42" spans="2:11" x14ac:dyDescent="0.3">
      <c r="B42" s="10"/>
      <c r="D42" s="10"/>
      <c r="K42" s="10"/>
    </row>
    <row r="43" spans="2:11" x14ac:dyDescent="0.3">
      <c r="B43" s="10"/>
      <c r="D43" s="10"/>
      <c r="K43" s="10"/>
    </row>
    <row r="44" spans="2:11" x14ac:dyDescent="0.3">
      <c r="B44" s="10"/>
      <c r="K44" s="10"/>
    </row>
    <row r="45" spans="2:11" x14ac:dyDescent="0.3">
      <c r="B45" s="10"/>
      <c r="K45" s="10"/>
    </row>
    <row r="46" spans="2:11" x14ac:dyDescent="0.3">
      <c r="B46" s="10"/>
      <c r="K46" s="10"/>
    </row>
    <row r="47" spans="2:11" x14ac:dyDescent="0.3">
      <c r="B47" s="10"/>
      <c r="K47" s="10"/>
    </row>
    <row r="48" spans="2:11" x14ac:dyDescent="0.3">
      <c r="B48" s="10"/>
      <c r="K48" s="10"/>
    </row>
    <row r="49" spans="2:11" x14ac:dyDescent="0.3">
      <c r="B49" s="10"/>
      <c r="K49" s="10"/>
    </row>
    <row r="50" spans="2:11" x14ac:dyDescent="0.3">
      <c r="B50" s="10"/>
      <c r="K50" s="10"/>
    </row>
    <row r="51" spans="2:11" x14ac:dyDescent="0.3">
      <c r="B51" s="10"/>
      <c r="K51" s="10"/>
    </row>
    <row r="52" spans="2:11" x14ac:dyDescent="0.3">
      <c r="B52" s="10"/>
      <c r="K52" s="10"/>
    </row>
    <row r="53" spans="2:11" x14ac:dyDescent="0.3">
      <c r="B53" s="10"/>
      <c r="K53" s="10"/>
    </row>
    <row r="54" spans="2:11" x14ac:dyDescent="0.3">
      <c r="B54" s="18"/>
      <c r="K54" s="10"/>
    </row>
    <row r="55" spans="2:11" x14ac:dyDescent="0.3">
      <c r="B55" s="10"/>
      <c r="K55" s="10"/>
    </row>
    <row r="56" spans="2:11" x14ac:dyDescent="0.3">
      <c r="B56" s="10"/>
      <c r="K56" s="10"/>
    </row>
    <row r="57" spans="2:11" x14ac:dyDescent="0.3">
      <c r="K57" s="10"/>
    </row>
  </sheetData>
  <sortState xmlns:xlrd2="http://schemas.microsoft.com/office/spreadsheetml/2017/richdata2" ref="K24:K40">
    <sortCondition ref="K24:K40"/>
  </sortState>
  <mergeCells count="4">
    <mergeCell ref="A1:I1"/>
    <mergeCell ref="A13:I13"/>
    <mergeCell ref="A18:G18"/>
    <mergeCell ref="A6:I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comments-api data</vt:lpstr>
      <vt:lpstr>comments-api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Andre</cp:lastModifiedBy>
  <dcterms:created xsi:type="dcterms:W3CDTF">2024-05-19T09:13:48Z</dcterms:created>
  <dcterms:modified xsi:type="dcterms:W3CDTF">2026-03-04T10:54:15Z</dcterms:modified>
</cp:coreProperties>
</file>