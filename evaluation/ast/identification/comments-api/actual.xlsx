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omments-api\"/>
    </mc:Choice>
  </mc:AlternateContent>
  <xr:revisionPtr revIDLastSave="0" documentId="13_ncr:1_{BA2AA0B7-1BBB-4A45-9C34-F86DFCF1B9ED}" xr6:coauthVersionLast="47" xr6:coauthVersionMax="47" xr10:uidLastSave="{00000000-0000-0000-0000-000000000000}"/>
  <bookViews>
    <workbookView xWindow="-108" yWindow="-108" windowWidth="23256" windowHeight="12456" xr2:uid="{306A26B2-3BE7-4C40-B84F-457526F25D94}"/>
  </bookViews>
  <sheets>
    <sheet name="comments-api analysi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N18" i="13"/>
  <c r="M3" i="13" l="1"/>
  <c r="M4" i="13"/>
  <c r="M8" i="13"/>
  <c r="M9" i="13"/>
</calcChain>
</file>

<file path=xl/sharedStrings.xml><?xml version="1.0" encoding="utf-8"?>
<sst xmlns="http://schemas.openxmlformats.org/spreadsheetml/2006/main" count="23" uniqueCount="15">
  <si>
    <t>Scores</t>
  </si>
  <si>
    <t>Precision</t>
  </si>
  <si>
    <t>Recall</t>
  </si>
  <si>
    <t>Concepts</t>
  </si>
  <si>
    <t>comment</t>
  </si>
  <si>
    <t>TP</t>
  </si>
  <si>
    <t>FP</t>
  </si>
  <si>
    <t>FN</t>
  </si>
  <si>
    <t>Ground truth</t>
  </si>
  <si>
    <t>Mean</t>
  </si>
  <si>
    <t>API Express Identification Precision and Recall</t>
  </si>
  <si>
    <t>DB Mongo Identification Precision and Recall</t>
  </si>
  <si>
    <t>comments-api</t>
  </si>
  <si>
    <t>N/A</t>
  </si>
  <si>
    <t>⚠️ This is calculated on the basis of the result of the identification algorithm with minimum score of 3 (Express), 2 (Mongo) and the interpretation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</si>
</sst>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  <xf numFmtId="10" fontId="3" fillId="0" borderId="0" xfId="1" applyNumberFormat="1" applyFont="1" applyFill="1" applyAlignment="1">
      <alignment horizontal="center"/>
    </xf>
    <xf numFmtId="10" fontId="4" fillId="0" borderId="0" xfId="1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N37"/>
  <sheetViews>
    <sheetView tabSelected="1" zoomScaleNormal="100" workbookViewId="0">
      <selection activeCell="D2" sqref="D2"/>
    </sheetView>
  </sheetViews>
  <sheetFormatPr baseColWidth="10" defaultRowHeight="14.4" x14ac:dyDescent="0.3"/>
  <cols>
    <col min="1" max="1" width="15.77734375" customWidth="1"/>
    <col min="2" max="2" width="17.109375" bestFit="1" customWidth="1"/>
    <col min="3" max="7" width="15.77734375" customWidth="1"/>
    <col min="8" max="8" width="18.88671875" bestFit="1" customWidth="1"/>
    <col min="9" max="9" width="17.88671875" bestFit="1" customWidth="1"/>
    <col min="10" max="10" width="15.77734375" customWidth="1"/>
    <col min="11" max="11" width="21.5546875" bestFit="1" customWidth="1"/>
    <col min="12" max="14" width="15.77734375" customWidth="1"/>
  </cols>
  <sheetData>
    <row r="1" spans="1:14" x14ac:dyDescent="0.3">
      <c r="A1" s="17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M1" s="4" t="s">
        <v>9</v>
      </c>
    </row>
    <row r="2" spans="1:14" x14ac:dyDescent="0.3">
      <c r="A2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M2" s="1"/>
    </row>
    <row r="3" spans="1:14" x14ac:dyDescent="0.3">
      <c r="A3" t="s">
        <v>1</v>
      </c>
      <c r="B3" s="15">
        <v>0.54545399999999999</v>
      </c>
      <c r="C3" s="15">
        <v>0.66666599999999998</v>
      </c>
      <c r="D3" s="16">
        <v>1</v>
      </c>
      <c r="E3" s="15">
        <v>1</v>
      </c>
      <c r="F3" s="15">
        <v>1</v>
      </c>
      <c r="G3" s="15">
        <v>1</v>
      </c>
      <c r="H3" s="15">
        <v>1</v>
      </c>
      <c r="I3" s="15">
        <v>1</v>
      </c>
      <c r="M3" s="3">
        <f>AVERAGE(B3:I3)</f>
        <v>0.90151500000000007</v>
      </c>
    </row>
    <row r="4" spans="1:14" x14ac:dyDescent="0.3">
      <c r="A4" t="s">
        <v>2</v>
      </c>
      <c r="B4" s="15">
        <v>1</v>
      </c>
      <c r="C4" s="15">
        <v>1</v>
      </c>
      <c r="D4" s="16">
        <v>1</v>
      </c>
      <c r="E4" s="15">
        <v>1</v>
      </c>
      <c r="F4" s="15">
        <v>1</v>
      </c>
      <c r="G4" s="15">
        <v>1</v>
      </c>
      <c r="H4" s="15">
        <v>1</v>
      </c>
      <c r="I4" s="15">
        <v>1</v>
      </c>
      <c r="M4" s="3">
        <f>AVERAGE(B4:I4)</f>
        <v>1</v>
      </c>
    </row>
    <row r="5" spans="1:14" x14ac:dyDescent="0.3">
      <c r="M5" s="1"/>
    </row>
    <row r="6" spans="1:14" x14ac:dyDescent="0.3">
      <c r="A6" s="17" t="s">
        <v>11</v>
      </c>
      <c r="B6" s="17"/>
      <c r="C6" s="17"/>
      <c r="D6" s="17"/>
      <c r="E6" s="17"/>
      <c r="F6" s="17"/>
      <c r="G6" s="17"/>
      <c r="H6" s="17"/>
      <c r="I6" s="17"/>
      <c r="J6" s="17"/>
      <c r="K6" s="17"/>
      <c r="M6" s="4" t="s">
        <v>9</v>
      </c>
    </row>
    <row r="7" spans="1:14" x14ac:dyDescent="0.3">
      <c r="A7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M7" s="1"/>
    </row>
    <row r="8" spans="1:14" x14ac:dyDescent="0.3">
      <c r="A8" t="s">
        <v>1</v>
      </c>
      <c r="B8" s="15">
        <v>0.72</v>
      </c>
      <c r="C8" s="16">
        <v>0.75</v>
      </c>
      <c r="D8" s="15">
        <v>0.78947368421052599</v>
      </c>
      <c r="E8" s="15" t="s">
        <v>13</v>
      </c>
      <c r="F8" s="15" t="s">
        <v>13</v>
      </c>
      <c r="G8" s="15" t="s">
        <v>13</v>
      </c>
      <c r="M8" s="3">
        <f>AVERAGE(B8:G8)</f>
        <v>0.75315789473684192</v>
      </c>
    </row>
    <row r="9" spans="1:14" x14ac:dyDescent="0.3">
      <c r="A9" t="s">
        <v>2</v>
      </c>
      <c r="B9" s="3">
        <v>1</v>
      </c>
      <c r="C9" s="16">
        <v>1</v>
      </c>
      <c r="D9" s="15">
        <v>0.83333333333333304</v>
      </c>
      <c r="E9" s="15">
        <v>0</v>
      </c>
      <c r="F9" s="15">
        <v>0</v>
      </c>
      <c r="G9" s="15">
        <v>0</v>
      </c>
      <c r="M9" s="3">
        <f>AVERAGE(B9:J9)</f>
        <v>0.47222222222222215</v>
      </c>
    </row>
    <row r="10" spans="1:14" x14ac:dyDescent="0.3">
      <c r="B10" s="2"/>
      <c r="C10" s="2"/>
      <c r="D10" s="9"/>
      <c r="E10" s="2"/>
      <c r="F10" s="2"/>
      <c r="G10" s="2"/>
    </row>
    <row r="11" spans="1:14" s="10" customFormat="1" x14ac:dyDescent="0.3">
      <c r="B11" s="11"/>
      <c r="C11" s="11"/>
      <c r="D11" s="12"/>
      <c r="E11" s="11"/>
      <c r="F11" s="11"/>
      <c r="G11" s="11"/>
    </row>
    <row r="13" spans="1:14" x14ac:dyDescent="0.3">
      <c r="A13" s="17" t="s">
        <v>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4" x14ac:dyDescent="0.3">
      <c r="A14" s="5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M14" s="4" t="s">
        <v>8</v>
      </c>
      <c r="N14" s="1">
        <v>1</v>
      </c>
    </row>
    <row r="15" spans="1:14" x14ac:dyDescent="0.3">
      <c r="A15" s="6" t="s">
        <v>4</v>
      </c>
      <c r="M15" s="6" t="s">
        <v>5</v>
      </c>
      <c r="N15" s="1">
        <v>1</v>
      </c>
    </row>
    <row r="16" spans="1:14" x14ac:dyDescent="0.3">
      <c r="A16" s="1"/>
      <c r="M16" s="7" t="s">
        <v>6</v>
      </c>
      <c r="N16" s="1">
        <v>0</v>
      </c>
    </row>
    <row r="17" spans="1:14" x14ac:dyDescent="0.3">
      <c r="A17" s="13" t="s">
        <v>14</v>
      </c>
      <c r="M17" s="8" t="s">
        <v>7</v>
      </c>
      <c r="N17" s="1">
        <v>0</v>
      </c>
    </row>
    <row r="18" spans="1:14" x14ac:dyDescent="0.3">
      <c r="A18" s="1"/>
      <c r="M18" s="4" t="s">
        <v>1</v>
      </c>
      <c r="N18" s="14">
        <f>N15/(N15+N16)</f>
        <v>1</v>
      </c>
    </row>
    <row r="19" spans="1:14" x14ac:dyDescent="0.3">
      <c r="A19" s="1"/>
      <c r="M19" s="4" t="s">
        <v>2</v>
      </c>
      <c r="N19" s="14">
        <f>N15/N14</f>
        <v>1</v>
      </c>
    </row>
    <row r="20" spans="1:14" x14ac:dyDescent="0.3">
      <c r="A20" s="1"/>
    </row>
    <row r="21" spans="1:14" x14ac:dyDescent="0.3">
      <c r="A21" s="1"/>
    </row>
    <row r="22" spans="1:14" x14ac:dyDescent="0.3">
      <c r="A22" s="1"/>
    </row>
    <row r="23" spans="1:14" x14ac:dyDescent="0.3">
      <c r="A23" s="1"/>
    </row>
    <row r="24" spans="1:14" x14ac:dyDescent="0.3">
      <c r="A24" s="1"/>
    </row>
    <row r="25" spans="1:14" x14ac:dyDescent="0.3">
      <c r="A25" s="1"/>
    </row>
    <row r="26" spans="1:14" x14ac:dyDescent="0.3">
      <c r="A26" s="1"/>
    </row>
    <row r="27" spans="1:14" x14ac:dyDescent="0.3">
      <c r="A27" s="1"/>
    </row>
    <row r="28" spans="1:14" x14ac:dyDescent="0.3">
      <c r="A28" s="1"/>
    </row>
    <row r="29" spans="1:14" x14ac:dyDescent="0.3">
      <c r="A29" s="1"/>
    </row>
    <row r="30" spans="1:14" x14ac:dyDescent="0.3">
      <c r="A30" s="1"/>
    </row>
    <row r="31" spans="1:14" x14ac:dyDescent="0.3">
      <c r="A31" s="1"/>
    </row>
    <row r="32" spans="1:1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</sheetData>
  <sortState xmlns:xlrd2="http://schemas.microsoft.com/office/spreadsheetml/2017/richdata2" ref="K15:K44">
    <sortCondition ref="K15:K44"/>
  </sortState>
  <mergeCells count="3">
    <mergeCell ref="A6:K6"/>
    <mergeCell ref="A13:K13"/>
    <mergeCell ref="A1:K1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comments-api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2026-02-06T12:54:31Z</dcterms:modified>
</cp:coreProperties>
</file>